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9"/>
  <workbookPr defaultThemeVersion="202300"/>
  <mc:AlternateContent xmlns:mc="http://schemas.openxmlformats.org/markup-compatibility/2006">
    <mc:Choice Requires="x15">
      <x15ac:absPath xmlns:x15ac="http://schemas.microsoft.com/office/spreadsheetml/2010/11/ac" url="/Users/allakarpova/Library/CloudStorage/Box-Box/Ding_Lab/Projects_Current/Sennet/manuscript_submission/Cell_genomics_acceptance/"/>
    </mc:Choice>
  </mc:AlternateContent>
  <xr:revisionPtr revIDLastSave="0" documentId="8_{248C2B11-4A3F-714B-9961-E6A1CB295388}" xr6:coauthVersionLast="47" xr6:coauthVersionMax="47" xr10:uidLastSave="{00000000-0000-0000-0000-000000000000}"/>
  <bookViews>
    <workbookView xWindow="9220" yWindow="2080" windowWidth="28940" windowHeight="18660" activeTab="1" xr2:uid="{296690DD-8084-164B-AB5E-D01165D79A36}"/>
  </bookViews>
  <sheets>
    <sheet name="1A Clinical info" sheetId="2" r:id="rId1"/>
    <sheet name="1B Data availability" sheetId="1" r:id="rId2"/>
    <sheet name="1C Sample list" sheetId="3" r:id="rId3"/>
    <sheet name="Mice info"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44" i="2" l="1"/>
  <c r="Y44" i="2" s="1"/>
  <c r="AA44" i="2" s="1"/>
  <c r="AB44" i="2" s="1"/>
  <c r="X43" i="2"/>
  <c r="Y43" i="2" s="1"/>
  <c r="AA43" i="2" s="1"/>
  <c r="AB43" i="2" s="1"/>
  <c r="X42" i="2"/>
  <c r="Y42" i="2" s="1"/>
  <c r="AA42" i="2" s="1"/>
  <c r="AB42" i="2" s="1"/>
  <c r="X41" i="2"/>
  <c r="Y41" i="2" s="1"/>
  <c r="AA41" i="2" s="1"/>
  <c r="AB41" i="2" s="1"/>
  <c r="X40" i="2"/>
  <c r="Y40" i="2" s="1"/>
  <c r="AA40" i="2" s="1"/>
  <c r="AB40" i="2" s="1"/>
  <c r="X39" i="2"/>
  <c r="Y39" i="2" s="1"/>
  <c r="AA39" i="2" s="1"/>
  <c r="AB39" i="2" s="1"/>
  <c r="Y38" i="2"/>
  <c r="AA38" i="2" s="1"/>
  <c r="AB38" i="2" s="1"/>
  <c r="Y37" i="2"/>
  <c r="AA37" i="2" s="1"/>
  <c r="AB37" i="2" s="1"/>
  <c r="Y36" i="2"/>
  <c r="AA36" i="2" s="1"/>
  <c r="AB36" i="2" s="1"/>
  <c r="Y35" i="2"/>
  <c r="AA35" i="2" s="1"/>
  <c r="AB35" i="2" s="1"/>
  <c r="Y34" i="2"/>
  <c r="AA34" i="2" s="1"/>
  <c r="AB34" i="2" s="1"/>
  <c r="Y33" i="2"/>
  <c r="AA33" i="2" s="1"/>
  <c r="AB33" i="2" s="1"/>
  <c r="Y32" i="2"/>
  <c r="AA32" i="2" s="1"/>
  <c r="AB32" i="2" s="1"/>
  <c r="Y31" i="2"/>
  <c r="AA31" i="2" s="1"/>
  <c r="AB31" i="2" s="1"/>
  <c r="Y30" i="2"/>
  <c r="AA30" i="2" s="1"/>
  <c r="AB30" i="2" s="1"/>
  <c r="Y29" i="2"/>
  <c r="AA29" i="2" s="1"/>
  <c r="AB29" i="2" s="1"/>
  <c r="Y28" i="2"/>
  <c r="AA28" i="2" s="1"/>
  <c r="AB28" i="2" s="1"/>
  <c r="Y27" i="2"/>
  <c r="AA27" i="2" s="1"/>
  <c r="AB27" i="2" s="1"/>
  <c r="Y26" i="2"/>
  <c r="AA26" i="2" s="1"/>
  <c r="AB26" i="2" s="1"/>
  <c r="Y25" i="2"/>
  <c r="AA25" i="2" s="1"/>
  <c r="AB25" i="2" s="1"/>
  <c r="Y24" i="2"/>
  <c r="AA24" i="2" s="1"/>
  <c r="AB24" i="2" s="1"/>
  <c r="Y23" i="2"/>
  <c r="AA23" i="2" s="1"/>
  <c r="AB23" i="2" s="1"/>
  <c r="Y22" i="2"/>
  <c r="AA22" i="2" s="1"/>
  <c r="AB22" i="2" s="1"/>
  <c r="Y21" i="2"/>
  <c r="AA21" i="2" s="1"/>
  <c r="AB21" i="2" s="1"/>
  <c r="Y20" i="2"/>
  <c r="AA20" i="2" s="1"/>
  <c r="AB20" i="2" s="1"/>
  <c r="Y19" i="2"/>
  <c r="AA19" i="2" s="1"/>
  <c r="AB19" i="2" s="1"/>
  <c r="Y18" i="2"/>
  <c r="AA18" i="2" s="1"/>
  <c r="AB18" i="2" s="1"/>
  <c r="Y17" i="2"/>
  <c r="AA17" i="2" s="1"/>
  <c r="AB17" i="2" s="1"/>
  <c r="Y16" i="2"/>
  <c r="AA16" i="2" s="1"/>
  <c r="AB16" i="2" s="1"/>
  <c r="Y15" i="2"/>
  <c r="AA15" i="2" s="1"/>
  <c r="AB15" i="2" s="1"/>
  <c r="Y13" i="2"/>
  <c r="AA13" i="2" s="1"/>
  <c r="AB13" i="2" s="1"/>
  <c r="Y12" i="2"/>
  <c r="AA12" i="2" s="1"/>
  <c r="AB12" i="2" s="1"/>
  <c r="Y11" i="2"/>
  <c r="AA11" i="2" s="1"/>
  <c r="AB11" i="2" s="1"/>
  <c r="Y9" i="2"/>
  <c r="AA9" i="2" s="1"/>
  <c r="AB9" i="2" s="1"/>
  <c r="Y8" i="2"/>
  <c r="AA8" i="2" s="1"/>
  <c r="AB8" i="2" s="1"/>
  <c r="Y7" i="2"/>
  <c r="AA7" i="2" s="1"/>
  <c r="AB7" i="2" s="1"/>
  <c r="Y6" i="2"/>
  <c r="AA6" i="2" s="1"/>
  <c r="AB6" i="2" s="1"/>
  <c r="Y5" i="2"/>
  <c r="AA5" i="2" s="1"/>
  <c r="AB5" i="2" s="1"/>
  <c r="Y4" i="2"/>
  <c r="AA4" i="2" s="1"/>
  <c r="AB4" i="2" s="1"/>
  <c r="Y3" i="2"/>
  <c r="AA3" i="2" s="1"/>
  <c r="AB3" i="2" s="1"/>
  <c r="Y2" i="2"/>
  <c r="AA2" i="2" s="1"/>
  <c r="AB2" i="2" s="1"/>
</calcChain>
</file>

<file path=xl/sharedStrings.xml><?xml version="1.0" encoding="utf-8"?>
<sst xmlns="http://schemas.openxmlformats.org/spreadsheetml/2006/main" count="2301" uniqueCount="424">
  <si>
    <t>Patient_ID</t>
  </si>
  <si>
    <t>Cohort</t>
  </si>
  <si>
    <t>SN001H1</t>
  </si>
  <si>
    <t>Normal liver</t>
  </si>
  <si>
    <t>SN003H1</t>
  </si>
  <si>
    <t>SN004H1</t>
  </si>
  <si>
    <t>SN007H1</t>
  </si>
  <si>
    <t>SN009H1</t>
  </si>
  <si>
    <t>SN010H1</t>
  </si>
  <si>
    <t>SN018H1</t>
  </si>
  <si>
    <t>SN019H1</t>
  </si>
  <si>
    <t>SN020H1</t>
  </si>
  <si>
    <t>SN022H1</t>
  </si>
  <si>
    <t>SN023H1</t>
  </si>
  <si>
    <t>SN024H1</t>
  </si>
  <si>
    <t>SN029H1</t>
  </si>
  <si>
    <t>SN032H1</t>
  </si>
  <si>
    <t>SN034H1</t>
  </si>
  <si>
    <t>SN039H1</t>
  </si>
  <si>
    <t>SN041H1</t>
  </si>
  <si>
    <t>SN046H1</t>
  </si>
  <si>
    <t>SN047H1</t>
  </si>
  <si>
    <t>SN049H1</t>
  </si>
  <si>
    <t>SN050H1</t>
  </si>
  <si>
    <t>SN059H1</t>
  </si>
  <si>
    <t>SN060H1</t>
  </si>
  <si>
    <t>SN062H1</t>
  </si>
  <si>
    <t>SN063H1</t>
  </si>
  <si>
    <t>SN065H1</t>
  </si>
  <si>
    <t>SN073H1</t>
  </si>
  <si>
    <t>SN076H1</t>
  </si>
  <si>
    <t>SN078H1</t>
  </si>
  <si>
    <t>SN079H1</t>
  </si>
  <si>
    <t>SN087H1</t>
  </si>
  <si>
    <t>SN089H1</t>
  </si>
  <si>
    <t>SN091H1</t>
  </si>
  <si>
    <t>SN094H1</t>
  </si>
  <si>
    <t>SN014H1</t>
  </si>
  <si>
    <t>SN021H1</t>
  </si>
  <si>
    <t>SN055H1</t>
  </si>
  <si>
    <t>SN005H1</t>
  </si>
  <si>
    <t>SN017H1</t>
  </si>
  <si>
    <t>SN028H1</t>
  </si>
  <si>
    <t>SN061H1</t>
  </si>
  <si>
    <t>SN088H1</t>
  </si>
  <si>
    <t>SN090H1</t>
  </si>
  <si>
    <t>CM1563C1</t>
  </si>
  <si>
    <t>mCRC</t>
  </si>
  <si>
    <t>CM354C1</t>
  </si>
  <si>
    <t>CM426C1</t>
  </si>
  <si>
    <t>CM492C2</t>
  </si>
  <si>
    <t>CM556C1</t>
  </si>
  <si>
    <t>CM618C2</t>
  </si>
  <si>
    <t>CM663C1</t>
  </si>
  <si>
    <t>HT112C1</t>
  </si>
  <si>
    <t>HT165C1</t>
  </si>
  <si>
    <t>HT250C1</t>
  </si>
  <si>
    <t>HT253C1</t>
  </si>
  <si>
    <t>HT254C1</t>
  </si>
  <si>
    <t>HT291C1</t>
  </si>
  <si>
    <t>HT307C1</t>
  </si>
  <si>
    <t>HT342C1</t>
  </si>
  <si>
    <t>HT347C1</t>
  </si>
  <si>
    <t>HT413C1</t>
  </si>
  <si>
    <t>HT472C1</t>
  </si>
  <si>
    <t>HT489C1</t>
  </si>
  <si>
    <t>HT525C1</t>
  </si>
  <si>
    <t>snRNA data produced</t>
  </si>
  <si>
    <t>snATAC data produced</t>
  </si>
  <si>
    <t>Xenium data</t>
  </si>
  <si>
    <t>Visium data</t>
  </si>
  <si>
    <t>Yes, by this study</t>
  </si>
  <si>
    <t>Yes, by PMID:37914932</t>
  </si>
  <si>
    <t>Age</t>
  </si>
  <si>
    <t>Age.group</t>
  </si>
  <si>
    <t>Race</t>
  </si>
  <si>
    <t>Ethnicity</t>
  </si>
  <si>
    <t>Sex</t>
  </si>
  <si>
    <t>Gender</t>
  </si>
  <si>
    <t>Body Mass Index</t>
  </si>
  <si>
    <t>Date of Informed Consent</t>
  </si>
  <si>
    <t>Method of surgery</t>
  </si>
  <si>
    <t>Surgical Procedure</t>
  </si>
  <si>
    <t>History of Cancer</t>
  </si>
  <si>
    <t>Treatment</t>
  </si>
  <si>
    <t>Treatment years before sample collection</t>
  </si>
  <si>
    <t>Treatment within 6months</t>
  </si>
  <si>
    <t>Treatment.type.specific</t>
  </si>
  <si>
    <t>Opiate use</t>
  </si>
  <si>
    <t>Smoking History</t>
  </si>
  <si>
    <t>Alcohol History</t>
  </si>
  <si>
    <t>Medical history</t>
  </si>
  <si>
    <t>ALT</t>
  </si>
  <si>
    <t>AST</t>
  </si>
  <si>
    <t>AST_ALT</t>
  </si>
  <si>
    <t>AST_ALT_score</t>
  </si>
  <si>
    <t>diabetes</t>
  </si>
  <si>
    <t>BARD_score</t>
  </si>
  <si>
    <t>BARD_high_risk</t>
  </si>
  <si>
    <t>Metavir_score_HE</t>
  </si>
  <si>
    <t>Metavir_score_Trichrome</t>
  </si>
  <si>
    <t>Fibrosis</t>
  </si>
  <si>
    <t>Portal_inflammation</t>
  </si>
  <si>
    <t>Lobular_inflammation</t>
  </si>
  <si>
    <t>Macrovesicular_Steatosis_percent</t>
  </si>
  <si>
    <t>Bile ducts</t>
  </si>
  <si>
    <t>Old</t>
  </si>
  <si>
    <t>White</t>
  </si>
  <si>
    <t>Not Hispanic or Latino or Spanish Origin</t>
  </si>
  <si>
    <t>F</t>
  </si>
  <si>
    <t>Woman</t>
  </si>
  <si>
    <t>Laparoscopic upper gastrointestinal surgery</t>
  </si>
  <si>
    <t>cholecystectomy</t>
  </si>
  <si>
    <t>Yes</t>
  </si>
  <si>
    <t>Chemo</t>
  </si>
  <si>
    <t>No</t>
  </si>
  <si>
    <t>Never Smoked</t>
  </si>
  <si>
    <t>Never Drinks Alcohol</t>
  </si>
  <si>
    <t>Adenocarcinoma of stomach, Underwent Chemo in 2020
Purulent peritonitis
Diverticulitis of large intestine with perforation and abscess without bleeding
Colostomy in place
Dysfunctional gallbladder</t>
  </si>
  <si>
    <t>None</t>
  </si>
  <si>
    <t>Young</t>
  </si>
  <si>
    <t>Black or African American</t>
  </si>
  <si>
    <t>Occasionally Drinks Alcohol (2-4 times per month)</t>
  </si>
  <si>
    <t xml:space="preserve">Heartburn
Gallstones
</t>
  </si>
  <si>
    <t>Mild chronic</t>
  </si>
  <si>
    <t>M</t>
  </si>
  <si>
    <t>Man</t>
  </si>
  <si>
    <t>Biliary colic</t>
  </si>
  <si>
    <t>Mild portal</t>
  </si>
  <si>
    <t>Minimal chronic</t>
  </si>
  <si>
    <t>Acute cholecystitis due to biliary calculus</t>
  </si>
  <si>
    <t>Periportal fibrosis</t>
  </si>
  <si>
    <t>Has Smoked Before, But Has Stopped</t>
  </si>
  <si>
    <t>Diabetes mellitus, type 2
Diverticulosis  
GERD (gastroesophageal reflux disease)</t>
  </si>
  <si>
    <t>Pancreatitis
History of biliary duct stent placement
Gallstones</t>
  </si>
  <si>
    <t>Bariatric surgery</t>
  </si>
  <si>
    <t>laparoscopic gastrectomy-sleeve</t>
  </si>
  <si>
    <t>Moderately Drinks Alcohol (2-4 drinks per week)</t>
  </si>
  <si>
    <t>Morbid obesity (CMS/HCC) (HCC)
Pancreatitis</t>
  </si>
  <si>
    <t>GERD (gastroesophageal reflux disease)	 	
Gestational diabetes	 
IBS (irritable bowel syndrome)</t>
  </si>
  <si>
    <t>NA</t>
  </si>
  <si>
    <t xml:space="preserve">Hyperlipidemia	 
Hypertension	 
Type 2 diabetes mellitus (HCC)	</t>
  </si>
  <si>
    <t xml:space="preserve">History of laparoscopic partial gastrectomy with Roux-en-Y reconstruction
Adenomatous colon polyp
Fatty liver
Gastroesophageal reflux disease with esophagitis
Overweight (BMI 25.0-29.9)
Prediabetes
</t>
  </si>
  <si>
    <t>hernia repair</t>
  </si>
  <si>
    <t>Breast cancer in 2016, Chemo completed in 2017
Diverticulitis
Hernia</t>
  </si>
  <si>
    <t>Predominantly acute</t>
  </si>
  <si>
    <t>Currently Smokes</t>
  </si>
  <si>
    <t>Bile duct injury</t>
  </si>
  <si>
    <t>Gastro-esophageal reflux disease without esophagitis</t>
  </si>
  <si>
    <t>Ductular reaction</t>
  </si>
  <si>
    <t>Open abdominal surgery</t>
  </si>
  <si>
    <t>Bile duct injury, sequela
Dehydration
Hyponatremia
SIRS (systemic inflammatory response syndrome) (CMS/HCC) (HCC)
AKI (acute kidney injury) (CMS/HCC) (HCC)</t>
  </si>
  <si>
    <t>laparoscopic gastric bypass</t>
  </si>
  <si>
    <t xml:space="preserve">BMI 40.0-44.9, adult (HCC)
</t>
  </si>
  <si>
    <t>Cholecystitis
Diverticulitis
Pancreatitis
Paroxysmal A-fib (CMS/HCC) (HCC)
Stroke (CMS/HCC) (HCC)</t>
  </si>
  <si>
    <t>Mild portal (thick subcapsular fibrosis)</t>
  </si>
  <si>
    <t>Radiation and hormone therapy</t>
  </si>
  <si>
    <t>Morbid obesity, Obesity, Breast cancer - 2003</t>
  </si>
  <si>
    <t>History of gestational diabetes	
Impaired fasting glucose
Morbid obesity with BMI of 40.0-44.9, adult (HCC)
Type 2 diabetes mellitus (HCC)</t>
  </si>
  <si>
    <t>Rectal bleeding
SMA stenosis
Choledocholithiasis
Colon Cancer with right hemicolectomy and chemo in 1980 Cholecystitis</t>
  </si>
  <si>
    <t>Thick subcapsular fibrosis (subcapsular biopsy cannot assess portal fibrosis)</t>
  </si>
  <si>
    <t>Pigment in hepatocytes (iron vs cholestasis)</t>
  </si>
  <si>
    <t>Obesity with body mass index 30 or greater
Acute pancreatitis
Elevated liver enzymes
Elevated lipase
Gastroesophageal reflux disease without esophagitis</t>
  </si>
  <si>
    <t>Lesion of liver
Irritable bowel syndrome
Gastroesophageal reflux disease without esophagitis
Cyclic vomiting syndrome
Elevated LFTs
Cholelithiases
Biliary colic</t>
  </si>
  <si>
    <t>Patchy moderate chronic inflammation</t>
  </si>
  <si>
    <t>Gallstones
Class 2 obesity due to excess calories with body mass index (BMI) of 38.0 to 38.9 in adult
Prediabetes
38 weeks gestation of pregnancy
Biliary colic
History of sleeve gastrectomy
Familial hyperlipidemia</t>
  </si>
  <si>
    <t>Calculus of bile duct with cholecystitis without obstruction, Long-term current use of opiate analgesic, Prostate cancer in 2008 (No Chemo or Radiation)
Basal cell carcinoma of back in 2019 (No Chemo or Radiation)</t>
  </si>
  <si>
    <t>Zone 3 hepatocyte reactive changes (? ischemic injury or prolonged period outside of formalin)</t>
  </si>
  <si>
    <t>Class 1 obesity in adult
 Gastroesophageal reflux disease without esophagitis
Pain in female pelvis
Chronic or unspecified gastrojejunal ulcer with hemorrhage
Epigastric pain
Hematemesis
Gastro-esophageal reflux disease without esophagitis
Abdominal pain, acute, epigastric
Choledocholithiasis
 </t>
  </si>
  <si>
    <t>Cytoplasmic clearing of hepatocytes (? drug/medication related changes)</t>
  </si>
  <si>
    <t xml:space="preserve">Type 2 diabetes mellitus with renal complication
Type 2 diabetes mellitus with hyperglycemia, with long-term current use of insulin
Acute pancreatitis without infection or necrosis
Exocrine pancreatic insufficiency
Acute cholecystitis
Abdominal pain
Calculus of gallbladder without cholecystitis without obstruction
Sepsis
BK viremia
Long term (current) use of antibiotics
</t>
  </si>
  <si>
    <t>Gastric ulcer with perforation (CMS/HCC) (HCC)
GERD (gastroesophageal reflux disease)
Liver disease, unspecified
Common bile duct stricture
Cholelithiasis without cholecystitis, Long term (current) use of opiate analgesic
Acute pain
Elevated alkaline phosphatase measurement</t>
  </si>
  <si>
    <t>Bridging fibrosis</t>
  </si>
  <si>
    <t>Minimal chronic vs cautery</t>
  </si>
  <si>
    <t>Biliary colic
Gastro-esophageal reflux disease without esophagitis
Mixed hyperlipidemia</t>
  </si>
  <si>
    <t>Hypothyroidism due to Hashimoto's thyroiditis
Class 2 obesity
H/O gastric bypass Epigastric pain
Marginal ulcer
Chronic diarrhea
Abdominal pain
Biliary dyskinesia
Biliary colic</t>
  </si>
  <si>
    <t>Calculus of gallbladder with cholecystitis without biliary obstruction
Cystic fibrosis 
Aftercare following organ transplant
Gastroesophageal reflux disease
High risk medications (not anticoagulants) long-term use
History of lung transplant
Thrombosis of blood vessel
Pancreatic insufficiency
Cyst of pancreas
Pancreatic insufficiency
Sepsis
DIOS (distal intestinal obstruction syndrome)</t>
  </si>
  <si>
    <t>Buttock pain
Gastritis
Biliary colic</t>
  </si>
  <si>
    <t>RUQ abdominal pain
Epigastric pain
Congenital duodenal obstruction due to annular pancreas</t>
  </si>
  <si>
    <t xml:space="preserve">Epigastric pain Fatty Liver
HLD
</t>
  </si>
  <si>
    <t>Congenital duodenal obstruction due to annular pancreas, Breast cancer - right</t>
  </si>
  <si>
    <t>Cirrhosis</t>
  </si>
  <si>
    <t>Moderate chronic</t>
  </si>
  <si>
    <t>Severe protein-calorie malnutrition</t>
  </si>
  <si>
    <t>Periportal (focal)</t>
  </si>
  <si>
    <t>Middle-aged</t>
  </si>
  <si>
    <t>History of gastric bypass, Epigastric pain
AP (abdominal pain)
Gastric fistula
Ulcer, peptic, acute or chronic</t>
  </si>
  <si>
    <t>Heavy Alcohol Drinker (5 or more drinks a week)</t>
  </si>
  <si>
    <t>Acute pancreatitis
Bleeding from sphincterotomy site
Choledocholithiasis</t>
  </si>
  <si>
    <t>Biliary colic
Necrotizing pancreatitis
Biliary obstruction
Hypertriglyceridemia
Diabetes mellitus associated with pancreatic disease (CMS/HCC) (HCC)
High risk medication use
Cholangitis
Gastric outlet obstruction
Severe malnutrition</t>
  </si>
  <si>
    <t>Gastrointestinal and Abdominal
Recurrent incisional hernia with incarceration</t>
  </si>
  <si>
    <t>Unknown</t>
  </si>
  <si>
    <t>Hispanic or Latino or Spanish Origin</t>
  </si>
  <si>
    <t>Class 2 obesity, Hepatitis C antibody test positive
Abdominal pain, acute
Hepatitis C virus infection
Visceral hypersensitivity syndrome
Nausea
Malfunction of gastrostomy tube (CMS/HCC) (HCC)
Obstruction of nasogastric tube</t>
  </si>
  <si>
    <t xml:space="preserve">Non-alcoholic fatty liver disease
Peptic ulcer disease
Family history of colonic polyps
Incisional hernia, without obstruction or gangrene
Heartburn
Nausea with vomiting
Gastric outlet obstruction
Chronic gastric ulcer with obstruction
Chronic gastric ulcer without hemorrhage and without perforation
Anastomotic stenosis of gastrojejunostomy
Chronic biliary pancreatitis (CMS/HCC) (HCC)
Biliary colic
Adult hypertrophic pyloric stenosis
Pancreatitis due to biliary obstruction
Acute recurrent pancreatitis
Nausea &amp; vomiting
Chronic pancreatitis, unspecified pancreatitis type (HCC)
Postoperative abdominal pain, Mild malnutrition (HCC)
Malnutrition </t>
  </si>
  <si>
    <t>Portal</t>
  </si>
  <si>
    <t>Mixed hyperlipidemia
Hypogonadism in male
Type 2 diabetes mellitus with complication, without long-term current use of insulin
NSTEMI (non-ST elevated myocardial infarction)
Cholecystitis with perforation of gallbladder
Chronic lumbar radiculopathy, Morbid (severe) obesity due to excess calories</t>
  </si>
  <si>
    <t>Minimal lobular</t>
  </si>
  <si>
    <t>Class 3 severe obesity due to excess calories without serious comorbidity with body mass index (BMI) of 45.0 to 49.9 in adult (HCC)
Abnormal glucose
History of maternal pulmonary embolus
Vitamin D deficiency
Calculus of gallbladder without cholecystitis without obstruction</t>
  </si>
  <si>
    <t>Periportal/thick subcapsular</t>
  </si>
  <si>
    <t>Cholelithiasis, Dysphagia</t>
  </si>
  <si>
    <t>Hepatectomy</t>
  </si>
  <si>
    <t>&lt;1</t>
  </si>
  <si>
    <t>FOLFOX + bevacizumab x 6 cycles --&gt;  liver resection</t>
  </si>
  <si>
    <t>Hypothyroidism, obesity</t>
  </si>
  <si>
    <t xml:space="preserve">FOLFOX + bevacizumab --&gt; left lateral liver resection </t>
  </si>
  <si>
    <t>Chemo and Radiation</t>
  </si>
  <si>
    <t>capecitabine chemoradiation --&gt; low anterior resection --&gt; adjuvant capecitabine --&gt; XELIRI + bevacizumab --&gt; liver resection</t>
  </si>
  <si>
    <t>Hypertension, DVT</t>
  </si>
  <si>
    <t>CAPOX + bevacizumab x7 --&gt; capecitabine + bevacizumab --&gt; low anterior resection --&gt; CAPOX + bevacizumab --&gt; capecitabine + bevacizumab --&gt; resection of liver</t>
  </si>
  <si>
    <t>hypertension, pulmonary embolus, prior stage 1A right breast cance</t>
  </si>
  <si>
    <t>CAPOX + bevacizumab x12 -&gt; resection of liver</t>
  </si>
  <si>
    <t>Neoadjuvant FOLFOX + bevacizumab  --&gt; resection of liver</t>
  </si>
  <si>
    <t>GERD, pancreatitis</t>
  </si>
  <si>
    <t>FOLFOX + bevacizumab x 6 --&gt; resection of liver</t>
  </si>
  <si>
    <t>Pulmonary embolism</t>
  </si>
  <si>
    <t>hyperlipidemia, hypertension</t>
  </si>
  <si>
    <t>mFOLFOX6 x12 cycles --&gt; XELIRI + FUDR via HAIP --&gt; XELIRI + panitumumab --&gt; resection of liver</t>
  </si>
  <si>
    <t>hypertension, asthma, paroxysmal atrial tachycardia, obesity</t>
  </si>
  <si>
    <t>FOLFOX + bevacizumab --&gt; resection of liver</t>
  </si>
  <si>
    <t>FOLFOX + bevacizumab --&gt; 5-FU/LV + bevacizumab --&gt; FOLFOX + bev --&gt; FOLFIRI + panitumumab --&gt; irinotecan + panitumumab  --&gt; resection of liver</t>
  </si>
  <si>
    <t>DVT</t>
  </si>
  <si>
    <t>COPD, prior RCC s/p right nephrectomy, hyperlipidemia, stroke, hypertension, diabetes</t>
  </si>
  <si>
    <t>Diabetes mellitus, hyperlipidemia, hypertension</t>
  </si>
  <si>
    <t>Pembrolizumab x 3 cycles --&gt; FOLFOX + bevacizumab x 4 cycles --&gt; resection of liver</t>
  </si>
  <si>
    <t xml:space="preserve">hypothyroidism, fibromyalgia, anemia, arthritis, basal cell carcinoma, headaches, restless leg syndrome, vitamin D deficiency </t>
  </si>
  <si>
    <t xml:space="preserve">FOLFIRI + bevacizumab --&gt; sigmoid colectomy and right upper lobectomy --&gt; FOLFOX --&gt; resection of new right parietal brain met --&gt; FOLFOX --&gt; maintenance capecitabine --&gt; portal vein embolization --&gt; right hepatectomy </t>
  </si>
  <si>
    <t>lung, liver, bone, and brain (brain surgery) metastasis from CRC primary, coronary artery disease, GERD, high cholesterol, hypertension, peripheral vasacular disease, hysterectomy</t>
  </si>
  <si>
    <t xml:space="preserve">Anemia, DVT, esophagitis, GERD, liver disease, motion sickness, PONV, pulmonary embolism, laparoscopic gastric banding (2011), gastric bypass (2021) cholecystectomy, tubal ligation, trigger finger release, tonsillectomy, </t>
  </si>
  <si>
    <t>chemo with FOLFIRI (= 5-FU + leucovorin + irinotecan) + panitumumab
3.5 weeks break between last chemo and resection --&gt; resection of liver</t>
  </si>
  <si>
    <t>FOLFOX x11  --&gt; resection of liver</t>
  </si>
  <si>
    <t>Hypertension, hyperlipidemia</t>
  </si>
  <si>
    <t>Melanoma, squamous cell skin cancer</t>
  </si>
  <si>
    <t>Mild chronic inflammation</t>
  </si>
  <si>
    <t>FOLFOXIRI + bevacizumab x 5 --&gt; Y90 x 2 + durvalumab x 5 --&gt; FOLFIRI --&gt; LAR, --&gt; resection of liver</t>
  </si>
  <si>
    <t>FOLFOX x 12 --&gt; resection of liver</t>
  </si>
  <si>
    <t>Hypertension, hyperlipidemia, transient ischemic attacks</t>
  </si>
  <si>
    <t>Polysubstance abuse</t>
  </si>
  <si>
    <t>FOLFOX --&gt; resection of liver</t>
  </si>
  <si>
    <t>Suspected Dubin-Johnson syndrome</t>
  </si>
  <si>
    <t>FOLFOX plus Avastin, Avastin + FOLFIRI  ended 4 months before the surgery, right portal vein embolization to induce hypertrophy of the future liver remnant in preparation for right hepatectomy</t>
  </si>
  <si>
    <t>Patient ID</t>
  </si>
  <si>
    <t>Sample name</t>
  </si>
  <si>
    <t>Data type</t>
  </si>
  <si>
    <t>SN001H1-Md1A3Y1K2N1</t>
  </si>
  <si>
    <t>SN003H1-Md1A3Y1Nd2</t>
  </si>
  <si>
    <t>SN004H1-Md1A4K2Y1N1</t>
  </si>
  <si>
    <t>SN007H1-Md1A3Y1N2</t>
  </si>
  <si>
    <t>SN007H1-Md1A3Y1Nd1</t>
  </si>
  <si>
    <t>SN009H1-Md1A3Y1N1</t>
  </si>
  <si>
    <t>SN009H1-Md1A3Y1Nd1</t>
  </si>
  <si>
    <t>SN010H1-Md1A3Y1N1</t>
  </si>
  <si>
    <t>SN010H1-Md1A3Y1Nd1</t>
  </si>
  <si>
    <t>SN018H1-Md1A3Y1Nd1</t>
  </si>
  <si>
    <t>SN019H1-Md1A3Y1Nd1</t>
  </si>
  <si>
    <t>SN020H1-Md1A3Y1Nd1</t>
  </si>
  <si>
    <t>SN022H1-Md1A3Y1Nd1</t>
  </si>
  <si>
    <t>SN023H1-Md1A3Y1Nd1</t>
  </si>
  <si>
    <t>SN024H1-Md1A3Y1Nd1_1Z1_1Bmn1_1</t>
  </si>
  <si>
    <t>3' snRNA</t>
  </si>
  <si>
    <t>SN029H1-Md1A3Y1Nd1</t>
  </si>
  <si>
    <t>SN032H1-Md1A3Y1Nd1</t>
  </si>
  <si>
    <t>SN034H1-Md1A3Y1Nd1</t>
  </si>
  <si>
    <t>SN039H1-Md1A3Y1Nd1</t>
  </si>
  <si>
    <t>SN041H1-Md1A3Y1Nd1</t>
  </si>
  <si>
    <t>SN046H1-Md1A3Y1Nd1</t>
  </si>
  <si>
    <t>SN047H1-Md1A3Y1Nd1</t>
  </si>
  <si>
    <t>SN049H1-Md1A3Y1Nd1</t>
  </si>
  <si>
    <t>SN050H1-Md1A3Y1Nd1</t>
  </si>
  <si>
    <t>SN059H1-Md1A3Y1Nd1</t>
  </si>
  <si>
    <t>SN060H1-Md1A3Y1Nd1</t>
  </si>
  <si>
    <t>SN062H1-Md1A3Y1Nd1_1Z1_1Bmn1_1</t>
  </si>
  <si>
    <t>SN063H1-Md1Fc1Nd1_1Z1_1Bmn1_1</t>
  </si>
  <si>
    <t>SN065H1-Md1A3Y1Nd1</t>
  </si>
  <si>
    <t>SN073H1-Md1A3Y1Nd1</t>
  </si>
  <si>
    <t>SN076H1-Md1A3Y1Nd1</t>
  </si>
  <si>
    <t>SN078H1-Md1A3Y1Nd1</t>
  </si>
  <si>
    <t>SN079H1-Md1A3Y1Nd1</t>
  </si>
  <si>
    <t>SN087H1-Md1A3Y1Nd1</t>
  </si>
  <si>
    <t>SN089H1-Md1A3Y1Nd1</t>
  </si>
  <si>
    <t>SN091H1-Md1A3Y1Nd1</t>
  </si>
  <si>
    <t>SN094H1-Md1A3Y1Nd1</t>
  </si>
  <si>
    <t>SM001H1</t>
  </si>
  <si>
    <t>SM001H1-Md1N1</t>
  </si>
  <si>
    <t>SM002H1</t>
  </si>
  <si>
    <t>SM002H1-Md1N1</t>
  </si>
  <si>
    <t>SN001H1-Md1Fp2bUs3_1</t>
  </si>
  <si>
    <t>Xenium</t>
  </si>
  <si>
    <t>SN004H1-Md1Fp2U3</t>
  </si>
  <si>
    <t>SN007H1-Md1Fp2U1</t>
  </si>
  <si>
    <t>SN009H1-Md1Fp2U3</t>
  </si>
  <si>
    <t>SN010H1-Md1Fp2U1</t>
  </si>
  <si>
    <t>SN014H1-Md1Fp2U1</t>
  </si>
  <si>
    <t>SN018H1-Md1Fp2U1</t>
  </si>
  <si>
    <t>SN021H1-Md1Fp2U1</t>
  </si>
  <si>
    <t>SN032H1-Md1Fp2U1</t>
  </si>
  <si>
    <t>SN039H1-Md1Fp2U1</t>
  </si>
  <si>
    <t>SN046H1-Md1Fp2U1</t>
  </si>
  <si>
    <t>SN047H1-Md1Fp2U1</t>
  </si>
  <si>
    <t>SN049H1-Md1Fp2Us1_1</t>
  </si>
  <si>
    <t>SN055H1-Md1Fp4U1</t>
  </si>
  <si>
    <t>SN059H1-Md1Fp2Us1_1</t>
  </si>
  <si>
    <t>SN079H1-Md1Fp4Us1_1</t>
  </si>
  <si>
    <t>SN010H1-Md1Fp2</t>
  </si>
  <si>
    <t>SN007H1-Md1Fp2</t>
  </si>
  <si>
    <t>SN018H1-Md1Fp2b</t>
  </si>
  <si>
    <t>SN009H1-Md1Fp2</t>
  </si>
  <si>
    <t>SN046H1-Md1Fp2</t>
  </si>
  <si>
    <t>SN047H1-Md1Fp2</t>
  </si>
  <si>
    <t>SN001H1-Md1Fp2b</t>
  </si>
  <si>
    <t>SN089H1-Md1Fp2Us1_1</t>
  </si>
  <si>
    <t>SN091H1-Md1Fp2Us1_1</t>
  </si>
  <si>
    <t>SN094H1-Md1Fp2Us1_1</t>
  </si>
  <si>
    <t>SN005H1-Md1Fp2U1</t>
  </si>
  <si>
    <t>SN017H1-Md1Fp2U1</t>
  </si>
  <si>
    <t>SN028H1-Md1Fp2U1</t>
  </si>
  <si>
    <t>SN061H1-Md1Fp4U1</t>
  </si>
  <si>
    <t>SN088H1-Md1Fp2U1</t>
  </si>
  <si>
    <t>SN090H1-Md1Fp4U1</t>
  </si>
  <si>
    <t>SN091H1-Md1Fp2U2</t>
  </si>
  <si>
    <t>SN039H1-Md1Fp2U2</t>
  </si>
  <si>
    <t>Combo RNA+ATAC</t>
  </si>
  <si>
    <t>CM1563C1-T1Y1N1</t>
  </si>
  <si>
    <t>CM354C1-T1Y2N1</t>
  </si>
  <si>
    <t>CM426C1-Th1A1N1</t>
  </si>
  <si>
    <t>CM492C2-T1Y1_1N1Z1_1B1</t>
  </si>
  <si>
    <t>CM492C2-T2Y1_1N1Z1_1B1</t>
  </si>
  <si>
    <t>CM556C1-T1Y1_1N1Z1_1B1</t>
  </si>
  <si>
    <t>CM618C2-T1Y1_1N1Z1_1B1</t>
  </si>
  <si>
    <t>CM663C1-T1Y1N1</t>
  </si>
  <si>
    <t>HT253C1-Th1K1Fc2A2N1</t>
  </si>
  <si>
    <t>HT254C1-Th1K1A3Y1Nd1</t>
  </si>
  <si>
    <t>HT291C1-M1A3N1</t>
  </si>
  <si>
    <t>HT342C1-Th1K4A3Y1Nd1</t>
  </si>
  <si>
    <t>HT472C1-Th1K1A3Y1Nd1</t>
  </si>
  <si>
    <t>HT525C1-Th1K1A3Y1Nd1</t>
  </si>
  <si>
    <t>HT347C1-M1Y1Nd1</t>
  </si>
  <si>
    <t>HT307C1-Th2K2A3Y1Nd1</t>
  </si>
  <si>
    <t>HT413C1-Th1K2A2Nd1</t>
  </si>
  <si>
    <t>HT413C1-Th1K4A2Nd1</t>
  </si>
  <si>
    <t>HT112C1-U1_ST_Bn1</t>
  </si>
  <si>
    <t>HT112C1-U2_ST_Bn1</t>
  </si>
  <si>
    <t>HT165C1-Th1K3Fc2U1Z1Bs1</t>
  </si>
  <si>
    <t>HT250C1-Th1K1Fc2U1Z1Bs1</t>
  </si>
  <si>
    <t>HT291C1-Md1Fc2</t>
  </si>
  <si>
    <t>HT413C1-Th1K2A1Us1_2Bp1_1</t>
  </si>
  <si>
    <t>HT413C1-Th1K2A4U14Bp1</t>
  </si>
  <si>
    <t>HT413C1-Th1K2A4U1Bp1</t>
  </si>
  <si>
    <t>HT413C1-Th1K2A4U2Bp1</t>
  </si>
  <si>
    <t>HT472C1-Th1K1Fp1U1Bp1</t>
  </si>
  <si>
    <t>HT413C1-Th1K4A1Us1_9</t>
  </si>
  <si>
    <t>HT413C1-Th1K4A1Us1_25</t>
  </si>
  <si>
    <t>HT413C1-Th1K4A1Us1_36</t>
  </si>
  <si>
    <t>HT413C1-Th1K2A1Us1_7</t>
  </si>
  <si>
    <t>HT347C1-Th1K2A1_Section1</t>
  </si>
  <si>
    <t>HT347C1-Th1K2A1_Section2</t>
  </si>
  <si>
    <t>HT413C1-Th1K4A1_U10</t>
  </si>
  <si>
    <t>HT413C1-Th1K4A1_U26</t>
  </si>
  <si>
    <t>HT413C1-Th1K4A1_U37</t>
  </si>
  <si>
    <t>HT413C1-Th1K4A1_U42</t>
  </si>
  <si>
    <t>HT307C1-Th3K1A1U1</t>
  </si>
  <si>
    <t>HT254C1-M1K1L1-L4U1</t>
  </si>
  <si>
    <t>HT342C1-M2A1U1</t>
  </si>
  <si>
    <t>HT489C1-M1Fp1U1</t>
  </si>
  <si>
    <t>Visium</t>
  </si>
  <si>
    <t>mCRC liver</t>
  </si>
  <si>
    <t>CODEX-PhenoCycler data</t>
  </si>
  <si>
    <t>CODEX-PhenoCycler</t>
  </si>
  <si>
    <t>CM798C1</t>
  </si>
  <si>
    <t>CM579C1</t>
  </si>
  <si>
    <t>CM394C1</t>
  </si>
  <si>
    <t>CM819C1</t>
  </si>
  <si>
    <t>CM394C1-C1-Th1Fp1U1</t>
  </si>
  <si>
    <t>CM394C1-C1-Th1Fp1US1_1</t>
  </si>
  <si>
    <t>CM798C1-E3-Th3Fp1U1Bp1</t>
  </si>
  <si>
    <t>CM798C1-E3-Th3Fp1U2</t>
  </si>
  <si>
    <t>CM579C1-C2-Th2Fp1U3</t>
  </si>
  <si>
    <t>CM819C1-B2-Th2Fp1U1</t>
  </si>
  <si>
    <t>CM819C1-B2-Th2Fp1U2</t>
  </si>
  <si>
    <t>2593-08-UNILVR-U1</t>
  </si>
  <si>
    <t>2645-08-UNILVR-U1</t>
  </si>
  <si>
    <t>Xenium 5K</t>
  </si>
  <si>
    <t>SN089H1-Md1Fp2U2</t>
  </si>
  <si>
    <t>SN024H1-Md1Fp2U1</t>
  </si>
  <si>
    <t>SN060H1-Md1Fp4U1</t>
  </si>
  <si>
    <t>FOLFOX</t>
  </si>
  <si>
    <t>FOLFOX + Avastin, then 5-FU + Avastin</t>
  </si>
  <si>
    <t>sbr</t>
  </si>
  <si>
    <t>sham</t>
  </si>
  <si>
    <t>Mouse ID</t>
  </si>
  <si>
    <t>SBR</t>
  </si>
  <si>
    <t>Timepoint (weeks)</t>
  </si>
  <si>
    <t>Male</t>
  </si>
  <si>
    <t>Sham</t>
  </si>
  <si>
    <t>SR006342_sbr_7448</t>
  </si>
  <si>
    <t>SR006342_sbr_7450</t>
  </si>
  <si>
    <t>SR006342_sbr_7452</t>
  </si>
  <si>
    <t>SR006342_sbr_7548</t>
  </si>
  <si>
    <t>SR006342_sham_7434</t>
  </si>
  <si>
    <t>SR006342_sham_7435</t>
  </si>
  <si>
    <t>SR006552_sbr_7751</t>
  </si>
  <si>
    <t>SR006552_sbr_7754</t>
  </si>
  <si>
    <t>SR006552_sbr_7759</t>
  </si>
  <si>
    <t>SR006552_sbr_7760</t>
  </si>
  <si>
    <t>SR006552_sham_7748</t>
  </si>
  <si>
    <t>SR006552_sham_7749</t>
  </si>
  <si>
    <t>SR003691_7352</t>
  </si>
  <si>
    <t>SR003691_7353</t>
  </si>
  <si>
    <t>SR003691_7354</t>
  </si>
  <si>
    <t>SR003691_7357</t>
  </si>
  <si>
    <t>SR003691_7361</t>
  </si>
  <si>
    <t>7352-LIV-U1</t>
  </si>
  <si>
    <t>7361-LIV-U1</t>
  </si>
  <si>
    <t>7435-LIV-U1</t>
  </si>
  <si>
    <t>7448-LIV-U1</t>
  </si>
  <si>
    <t>7450-LIV-U1</t>
  </si>
  <si>
    <t>7248-LIV-U1</t>
  </si>
  <si>
    <t>7260-LIV-U1</t>
  </si>
  <si>
    <t>7001-LIV-U1</t>
  </si>
  <si>
    <t>7239-LIV-U1</t>
  </si>
  <si>
    <t>7239-RIN-U1</t>
  </si>
  <si>
    <t>7259-LIV-U1</t>
  </si>
  <si>
    <t>7250-LIV-U1</t>
  </si>
  <si>
    <t>Yes, by PMID: 39478210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</si>
</sst>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2"/>
      <color theme="1"/>
      <name val="Aptos Narrow"/>
      <family val="2"/>
      <scheme val="minor"/>
    </font>
    <font>
      <b/>
      <sz val="12"/>
      <color theme="1"/>
      <name val="Aptos Narrow"/>
      <family val="2"/>
      <scheme val="minor"/>
    </font>
    <font>
      <sz val="11"/>
      <color theme="1"/>
      <name val="Arial"/>
      <family val="2"/>
    </font>
    <font>
      <b/>
      <sz val="11"/>
      <color theme="1"/>
      <name val="Arial"/>
      <family val="2"/>
    </font>
    <font>
      <sz val="11"/>
      <color rgb="FF1F1F1F"/>
      <name val="Arial"/>
      <family val="2"/>
    </font>
    <font>
      <sz val="11"/>
      <color rgb="FF000000"/>
      <name val="Arial"/>
      <family val="2"/>
    </font>
    <font>
      <b/>
      <sz val="12"/>
      <color theme="1"/>
      <name val="Arial"/>
      <family val="2"/>
    </font>
    <font>
      <sz val="12"/>
      <color theme="1"/>
      <name val="Arial"/>
      <family val="2"/>
    </font>
    <font>
      <sz val="12"/>
      <color rgb="FF1F1F1F"/>
      <name val="Arial"/>
      <family val="2"/>
    </font>
    <font>
      <sz val="12"/>
      <color rgb="FF000000"/>
      <name val="Arial"/>
      <family val="2"/>
    </font>
    <font>
      <sz val="12"/>
      <color theme="1"/>
      <name val="Calibri"/>
      <family val="2"/>
    </font>
    <font>
      <sz val="11"/>
      <color theme="1"/>
      <name val="Calibri"/>
      <family val="2"/>
    </font>
    <font>
      <sz val="10"/>
      <color theme="1"/>
      <name val="Arial"/>
      <family val="2"/>
    </font>
    <font>
      <sz val="12"/>
      <color rgb="FF000000"/>
      <name val="Calibri"/>
      <family val="2"/>
    </font>
    <font>
      <b/>
      <sz val="10"/>
      <color theme="1"/>
      <name val="Arial"/>
      <family val="2"/>
    </font>
    <font>
      <sz val="10"/>
      <color rgb="FF000000"/>
      <name val="Roboto"/>
      <charset val="1"/>
    </font>
    <font>
      <sz val="10"/>
      <color rgb="FF00000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19">
    <xf numFmtId="0" fontId="0" fillId="0" borderId="0" xfId="0"/>
    <xf numFmtId="0" fontId="2" fillId="0" borderId="0" xfId="0" applyFont="1"/>
    <xf numFmtId="0" fontId="3" fillId="0" borderId="0" xfId="0" applyFont="1"/>
    <xf numFmtId="0" fontId="1" fillId="0" borderId="0" xfId="0" applyFont="1"/>
    <xf numFmtId="14" fontId="2" fillId="0" borderId="0" xfId="0" applyNumberFormat="1" applyFont="1"/>
    <xf numFmtId="0" fontId="2" fillId="0" borderId="0" xfId="0" applyFont="1" applyAlignment="1">
      <alignment wrapText="1"/>
    </xf>
    <xf numFmtId="0" fontId="4" fillId="0" borderId="0" xfId="0" applyFont="1"/>
    <xf numFmtId="0" fontId="5" fillId="0" borderId="0" xfId="0" applyFont="1"/>
    <xf numFmtId="0" fontId="6" fillId="0" borderId="0" xfId="0" applyFont="1"/>
    <xf numFmtId="0" fontId="7" fillId="0" borderId="0" xfId="0" applyFont="1"/>
    <xf numFmtId="0" fontId="8" fillId="0" borderId="0" xfId="0" applyFont="1"/>
    <xf numFmtId="0" fontId="9" fillId="0" borderId="0" xfId="0" applyFont="1"/>
    <xf numFmtId="0" fontId="10" fillId="0" borderId="0" xfId="0" applyFont="1"/>
    <xf numFmtId="0" fontId="11" fillId="0" borderId="0" xfId="0" applyFont="1"/>
    <xf numFmtId="0" fontId="12" fillId="0" borderId="0" xfId="0" applyFont="1"/>
    <xf numFmtId="0" fontId="13" fillId="0" borderId="0" xfId="0" applyFont="1"/>
    <xf numFmtId="0" fontId="14" fillId="0" borderId="0" xfId="0" applyFont="1"/>
    <xf numFmtId="0" fontId="15" fillId="0" borderId="0" xfId="0" applyFont="1"/>
    <xf numFmtId="0" fontId="16"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DBFE4D-A8F9-6B46-9012-F7F4A2763A7A}">
  <dimension ref="A1:AI87"/>
  <sheetViews>
    <sheetView workbookViewId="0">
      <pane xSplit="1" ySplit="1" topLeftCell="B55" activePane="bottomRight" state="frozen"/>
      <selection pane="topRight" activeCell="B1" sqref="B1"/>
      <selection pane="bottomLeft" activeCell="A2" sqref="A2"/>
      <selection pane="bottomRight" activeCell="D95" sqref="D95"/>
    </sheetView>
  </sheetViews>
  <sheetFormatPr baseColWidth="10" defaultRowHeight="14" x14ac:dyDescent="0.15"/>
  <cols>
    <col min="1" max="13" width="10.83203125" style="1"/>
    <col min="14" max="14" width="21.1640625" style="1" customWidth="1"/>
    <col min="15" max="18" width="10.83203125" style="1"/>
    <col min="19" max="19" width="15.1640625" style="1" customWidth="1"/>
    <col min="20" max="20" width="45.83203125" style="1" customWidth="1"/>
    <col min="21" max="21" width="17.5" style="1" customWidth="1"/>
    <col min="22" max="31" width="10.83203125" style="1"/>
    <col min="32" max="32" width="22.1640625" style="1" customWidth="1"/>
    <col min="33" max="16384" width="10.83203125" style="1"/>
  </cols>
  <sheetData>
    <row r="1" spans="1:35" ht="16" customHeight="1" x14ac:dyDescent="0.15">
      <c r="A1" s="1" t="s">
        <v>0</v>
      </c>
      <c r="B1" s="1" t="s">
        <v>1</v>
      </c>
      <c r="C1" s="1" t="s">
        <v>73</v>
      </c>
      <c r="D1" s="1" t="s">
        <v>74</v>
      </c>
      <c r="E1" s="1" t="s">
        <v>75</v>
      </c>
      <c r="F1" s="1" t="s">
        <v>76</v>
      </c>
      <c r="G1" s="1" t="s">
        <v>77</v>
      </c>
      <c r="H1" s="1" t="s">
        <v>78</v>
      </c>
      <c r="I1" s="1" t="s">
        <v>79</v>
      </c>
      <c r="J1" s="1" t="s">
        <v>80</v>
      </c>
      <c r="K1" s="1" t="s">
        <v>81</v>
      </c>
      <c r="L1" s="1" t="s">
        <v>82</v>
      </c>
      <c r="M1" s="1" t="s">
        <v>83</v>
      </c>
      <c r="N1" s="1" t="s">
        <v>84</v>
      </c>
      <c r="O1" s="1" t="s">
        <v>85</v>
      </c>
      <c r="P1" s="1" t="s">
        <v>86</v>
      </c>
      <c r="Q1" s="1" t="s">
        <v>87</v>
      </c>
      <c r="R1" s="1" t="s">
        <v>88</v>
      </c>
      <c r="S1" s="1" t="s">
        <v>89</v>
      </c>
      <c r="T1" s="1" t="s">
        <v>90</v>
      </c>
      <c r="U1" s="1" t="s">
        <v>91</v>
      </c>
      <c r="V1" s="1" t="s">
        <v>92</v>
      </c>
      <c r="W1" s="1" t="s">
        <v>93</v>
      </c>
      <c r="X1" s="1" t="s">
        <v>94</v>
      </c>
      <c r="Y1" s="1" t="s">
        <v>95</v>
      </c>
      <c r="Z1" s="1" t="s">
        <v>96</v>
      </c>
      <c r="AA1" s="1" t="s">
        <v>97</v>
      </c>
      <c r="AB1" s="1" t="s">
        <v>98</v>
      </c>
      <c r="AC1" s="1" t="s">
        <v>99</v>
      </c>
      <c r="AD1" s="1" t="s">
        <v>100</v>
      </c>
      <c r="AE1" s="1" t="s">
        <v>101</v>
      </c>
      <c r="AF1" s="1" t="s">
        <v>102</v>
      </c>
      <c r="AG1" s="1" t="s">
        <v>103</v>
      </c>
      <c r="AH1" s="1" t="s">
        <v>104</v>
      </c>
      <c r="AI1" s="1" t="s">
        <v>105</v>
      </c>
    </row>
    <row r="2" spans="1:35" ht="16" customHeight="1" x14ac:dyDescent="0.15">
      <c r="A2" s="1" t="s">
        <v>2</v>
      </c>
      <c r="B2" s="1" t="s">
        <v>3</v>
      </c>
      <c r="C2" s="1">
        <v>69</v>
      </c>
      <c r="D2" s="1" t="s">
        <v>106</v>
      </c>
      <c r="E2" s="1" t="s">
        <v>107</v>
      </c>
      <c r="F2" s="1" t="s">
        <v>108</v>
      </c>
      <c r="G2" s="1" t="s">
        <v>109</v>
      </c>
      <c r="H2" s="1" t="s">
        <v>110</v>
      </c>
      <c r="I2" s="1">
        <v>25.4</v>
      </c>
      <c r="J2" s="4">
        <v>44552</v>
      </c>
      <c r="K2" s="1" t="s">
        <v>111</v>
      </c>
      <c r="L2" s="1" t="s">
        <v>112</v>
      </c>
      <c r="M2" s="1" t="s">
        <v>113</v>
      </c>
      <c r="N2" s="1" t="s">
        <v>114</v>
      </c>
      <c r="O2" s="1">
        <v>1</v>
      </c>
      <c r="P2" s="1" t="s">
        <v>115</v>
      </c>
      <c r="S2" s="1" t="s">
        <v>116</v>
      </c>
      <c r="T2" s="1" t="s">
        <v>117</v>
      </c>
      <c r="U2" s="5" t="s">
        <v>118</v>
      </c>
      <c r="V2" s="1">
        <v>10</v>
      </c>
      <c r="W2" s="1">
        <v>17</v>
      </c>
      <c r="X2" s="1">
        <v>1.7</v>
      </c>
      <c r="Y2" s="1">
        <f>IF(X2&gt;0.8,2,0)</f>
        <v>2</v>
      </c>
      <c r="Z2" s="1">
        <v>0</v>
      </c>
      <c r="AA2" s="1">
        <f t="shared" ref="AA2:AA9" si="0">IF(I2 &gt;= 28, 1+Y2+Z2, 0+Y2+Z2)</f>
        <v>2</v>
      </c>
      <c r="AB2" s="1">
        <f>IF(AA2&gt;1,1,0)</f>
        <v>1</v>
      </c>
      <c r="AC2" s="1">
        <v>0</v>
      </c>
      <c r="AD2" s="1">
        <v>1</v>
      </c>
      <c r="AE2" s="1" t="s">
        <v>119</v>
      </c>
      <c r="AF2" s="1" t="s">
        <v>119</v>
      </c>
      <c r="AG2" s="1" t="s">
        <v>119</v>
      </c>
      <c r="AH2" s="1">
        <v>0</v>
      </c>
    </row>
    <row r="3" spans="1:35" ht="16" customHeight="1" x14ac:dyDescent="0.15">
      <c r="A3" s="1" t="s">
        <v>4</v>
      </c>
      <c r="B3" s="1" t="s">
        <v>3</v>
      </c>
      <c r="C3" s="1">
        <v>35</v>
      </c>
      <c r="D3" s="1" t="s">
        <v>120</v>
      </c>
      <c r="E3" s="1" t="s">
        <v>121</v>
      </c>
      <c r="F3" s="1" t="s">
        <v>108</v>
      </c>
      <c r="G3" s="1" t="s">
        <v>109</v>
      </c>
      <c r="H3" s="1" t="s">
        <v>110</v>
      </c>
      <c r="I3" s="1">
        <v>30.6</v>
      </c>
      <c r="J3" s="4">
        <v>44622</v>
      </c>
      <c r="K3" s="1" t="s">
        <v>111</v>
      </c>
      <c r="L3" s="1" t="s">
        <v>112</v>
      </c>
      <c r="M3" s="1" t="s">
        <v>115</v>
      </c>
      <c r="P3" s="1" t="s">
        <v>115</v>
      </c>
      <c r="S3" s="1" t="s">
        <v>116</v>
      </c>
      <c r="T3" s="1" t="s">
        <v>122</v>
      </c>
      <c r="U3" s="5" t="s">
        <v>123</v>
      </c>
      <c r="V3" s="1">
        <v>11</v>
      </c>
      <c r="W3" s="1">
        <v>11</v>
      </c>
      <c r="X3" s="1">
        <v>1</v>
      </c>
      <c r="Y3" s="1">
        <f t="shared" ref="Y3:Y44" si="1">IF(X3&gt;0.8,2,0)</f>
        <v>2</v>
      </c>
      <c r="Z3" s="1">
        <v>0</v>
      </c>
      <c r="AA3" s="1">
        <f t="shared" si="0"/>
        <v>3</v>
      </c>
      <c r="AB3" s="1">
        <f t="shared" ref="AB3:AB44" si="2">IF(AA3&gt;1,1,0)</f>
        <v>1</v>
      </c>
      <c r="AC3" s="1">
        <v>0</v>
      </c>
      <c r="AD3" s="1">
        <v>0</v>
      </c>
      <c r="AE3" s="1" t="s">
        <v>119</v>
      </c>
      <c r="AF3" s="1" t="s">
        <v>119</v>
      </c>
      <c r="AG3" s="1" t="s">
        <v>124</v>
      </c>
      <c r="AH3" s="1">
        <v>0</v>
      </c>
    </row>
    <row r="4" spans="1:35" ht="16" customHeight="1" x14ac:dyDescent="0.15">
      <c r="A4" s="1" t="s">
        <v>5</v>
      </c>
      <c r="B4" s="1" t="s">
        <v>3</v>
      </c>
      <c r="C4" s="1">
        <v>37</v>
      </c>
      <c r="D4" s="1" t="s">
        <v>120</v>
      </c>
      <c r="E4" s="1" t="s">
        <v>107</v>
      </c>
      <c r="F4" s="1" t="s">
        <v>108</v>
      </c>
      <c r="G4" s="1" t="s">
        <v>125</v>
      </c>
      <c r="H4" s="1" t="s">
        <v>126</v>
      </c>
      <c r="I4" s="1">
        <v>27.6</v>
      </c>
      <c r="J4" s="4">
        <v>44637</v>
      </c>
      <c r="K4" s="1" t="s">
        <v>111</v>
      </c>
      <c r="L4" s="1" t="s">
        <v>112</v>
      </c>
      <c r="M4" s="1" t="s">
        <v>115</v>
      </c>
      <c r="P4" s="1" t="s">
        <v>115</v>
      </c>
      <c r="S4" s="1" t="s">
        <v>116</v>
      </c>
      <c r="T4" s="1" t="s">
        <v>122</v>
      </c>
      <c r="U4" s="1" t="s">
        <v>127</v>
      </c>
      <c r="V4" s="1">
        <v>52</v>
      </c>
      <c r="W4" s="1">
        <v>33</v>
      </c>
      <c r="X4" s="1">
        <v>0.63461538500000003</v>
      </c>
      <c r="Y4" s="1">
        <f t="shared" si="1"/>
        <v>0</v>
      </c>
      <c r="Z4" s="1">
        <v>0</v>
      </c>
      <c r="AA4" s="1">
        <f t="shared" si="0"/>
        <v>0</v>
      </c>
      <c r="AB4" s="1">
        <f t="shared" si="2"/>
        <v>0</v>
      </c>
      <c r="AC4" s="1">
        <v>1</v>
      </c>
      <c r="AD4" s="1">
        <v>1</v>
      </c>
      <c r="AE4" s="1" t="s">
        <v>128</v>
      </c>
      <c r="AF4" s="1" t="s">
        <v>129</v>
      </c>
      <c r="AG4" s="1" t="s">
        <v>124</v>
      </c>
      <c r="AH4" s="1">
        <v>10</v>
      </c>
    </row>
    <row r="5" spans="1:35" ht="16" customHeight="1" x14ac:dyDescent="0.15">
      <c r="A5" s="1" t="s">
        <v>6</v>
      </c>
      <c r="B5" s="1" t="s">
        <v>3</v>
      </c>
      <c r="C5" s="1">
        <v>37</v>
      </c>
      <c r="D5" s="1" t="s">
        <v>120</v>
      </c>
      <c r="E5" s="1" t="s">
        <v>107</v>
      </c>
      <c r="F5" s="1" t="s">
        <v>108</v>
      </c>
      <c r="G5" s="1" t="s">
        <v>109</v>
      </c>
      <c r="H5" s="1" t="s">
        <v>110</v>
      </c>
      <c r="I5" s="1">
        <v>25</v>
      </c>
      <c r="J5" s="4">
        <v>44658</v>
      </c>
      <c r="K5" s="1" t="s">
        <v>111</v>
      </c>
      <c r="L5" s="1" t="s">
        <v>112</v>
      </c>
      <c r="M5" s="1" t="s">
        <v>115</v>
      </c>
      <c r="P5" s="1" t="s">
        <v>115</v>
      </c>
      <c r="S5" s="1" t="s">
        <v>116</v>
      </c>
      <c r="T5" s="1" t="s">
        <v>117</v>
      </c>
      <c r="U5" s="1" t="s">
        <v>130</v>
      </c>
      <c r="V5" s="1">
        <v>14</v>
      </c>
      <c r="W5" s="1">
        <v>15</v>
      </c>
      <c r="X5" s="1">
        <v>1.071428571</v>
      </c>
      <c r="Y5" s="1">
        <f t="shared" si="1"/>
        <v>2</v>
      </c>
      <c r="Z5" s="1">
        <v>0</v>
      </c>
      <c r="AA5" s="1">
        <f t="shared" si="0"/>
        <v>2</v>
      </c>
      <c r="AB5" s="1">
        <f t="shared" si="2"/>
        <v>1</v>
      </c>
      <c r="AC5" s="1">
        <v>2</v>
      </c>
      <c r="AD5" s="1">
        <v>1</v>
      </c>
      <c r="AE5" s="1" t="s">
        <v>131</v>
      </c>
      <c r="AF5" s="1" t="s">
        <v>124</v>
      </c>
      <c r="AG5" s="1" t="s">
        <v>119</v>
      </c>
      <c r="AH5" s="1">
        <v>0</v>
      </c>
    </row>
    <row r="6" spans="1:35" ht="16" customHeight="1" x14ac:dyDescent="0.15">
      <c r="A6" s="1" t="s">
        <v>7</v>
      </c>
      <c r="B6" s="1" t="s">
        <v>3</v>
      </c>
      <c r="C6" s="1">
        <v>61</v>
      </c>
      <c r="D6" s="1" t="s">
        <v>106</v>
      </c>
      <c r="E6" s="1" t="s">
        <v>107</v>
      </c>
      <c r="F6" s="1" t="s">
        <v>108</v>
      </c>
      <c r="G6" s="1" t="s">
        <v>125</v>
      </c>
      <c r="H6" s="1" t="s">
        <v>126</v>
      </c>
      <c r="I6" s="1">
        <v>32.5</v>
      </c>
      <c r="J6" s="4">
        <v>44672</v>
      </c>
      <c r="K6" s="1" t="s">
        <v>111</v>
      </c>
      <c r="L6" s="1" t="s">
        <v>112</v>
      </c>
      <c r="M6" s="1" t="s">
        <v>115</v>
      </c>
      <c r="P6" s="1" t="s">
        <v>115</v>
      </c>
      <c r="S6" s="1" t="s">
        <v>132</v>
      </c>
      <c r="T6" s="1" t="s">
        <v>122</v>
      </c>
      <c r="U6" s="5" t="s">
        <v>133</v>
      </c>
      <c r="V6" s="1">
        <v>37</v>
      </c>
      <c r="W6" s="1">
        <v>44</v>
      </c>
      <c r="X6" s="1">
        <v>1.1891891889999999</v>
      </c>
      <c r="Y6" s="1">
        <f t="shared" si="1"/>
        <v>2</v>
      </c>
      <c r="Z6" s="1">
        <v>1</v>
      </c>
      <c r="AA6" s="1">
        <f t="shared" si="0"/>
        <v>4</v>
      </c>
      <c r="AB6" s="1">
        <f t="shared" si="2"/>
        <v>1</v>
      </c>
      <c r="AC6" s="1">
        <v>1</v>
      </c>
      <c r="AD6" s="1">
        <v>2</v>
      </c>
      <c r="AE6" s="1" t="s">
        <v>128</v>
      </c>
      <c r="AF6" s="1" t="s">
        <v>124</v>
      </c>
      <c r="AG6" s="1" t="s">
        <v>124</v>
      </c>
      <c r="AH6" s="1">
        <v>10</v>
      </c>
    </row>
    <row r="7" spans="1:35" ht="16" customHeight="1" x14ac:dyDescent="0.15">
      <c r="A7" s="1" t="s">
        <v>8</v>
      </c>
      <c r="B7" s="1" t="s">
        <v>3</v>
      </c>
      <c r="C7" s="1">
        <v>74</v>
      </c>
      <c r="D7" s="1" t="s">
        <v>106</v>
      </c>
      <c r="E7" s="1" t="s">
        <v>107</v>
      </c>
      <c r="F7" s="1" t="s">
        <v>108</v>
      </c>
      <c r="G7" s="1" t="s">
        <v>109</v>
      </c>
      <c r="H7" s="1" t="s">
        <v>110</v>
      </c>
      <c r="I7" s="1">
        <v>28.8</v>
      </c>
      <c r="J7" s="4">
        <v>44673</v>
      </c>
      <c r="K7" s="1" t="s">
        <v>111</v>
      </c>
      <c r="L7" s="1" t="s">
        <v>112</v>
      </c>
      <c r="M7" s="1" t="s">
        <v>115</v>
      </c>
      <c r="P7" s="1" t="s">
        <v>115</v>
      </c>
      <c r="S7" s="1" t="s">
        <v>116</v>
      </c>
      <c r="T7" s="1" t="s">
        <v>117</v>
      </c>
      <c r="U7" s="5" t="s">
        <v>134</v>
      </c>
      <c r="V7" s="1">
        <v>41</v>
      </c>
      <c r="W7" s="1">
        <v>35</v>
      </c>
      <c r="X7" s="1">
        <v>0.85365853700000005</v>
      </c>
      <c r="Y7" s="1">
        <f t="shared" si="1"/>
        <v>2</v>
      </c>
      <c r="Z7" s="1">
        <v>0</v>
      </c>
      <c r="AA7" s="1">
        <f t="shared" si="0"/>
        <v>3</v>
      </c>
      <c r="AB7" s="1">
        <f t="shared" si="2"/>
        <v>1</v>
      </c>
      <c r="AC7" s="1">
        <v>1</v>
      </c>
      <c r="AD7" s="1">
        <v>1</v>
      </c>
      <c r="AE7" s="1" t="s">
        <v>128</v>
      </c>
      <c r="AF7" s="1" t="s">
        <v>119</v>
      </c>
      <c r="AG7" s="1" t="s">
        <v>119</v>
      </c>
      <c r="AH7" s="1">
        <v>5</v>
      </c>
    </row>
    <row r="8" spans="1:35" ht="16" customHeight="1" x14ac:dyDescent="0.15">
      <c r="A8" s="1" t="s">
        <v>9</v>
      </c>
      <c r="B8" s="1" t="s">
        <v>3</v>
      </c>
      <c r="C8" s="1">
        <v>30</v>
      </c>
      <c r="D8" s="1" t="s">
        <v>120</v>
      </c>
      <c r="E8" s="1" t="s">
        <v>121</v>
      </c>
      <c r="F8" s="1" t="s">
        <v>108</v>
      </c>
      <c r="G8" s="1" t="s">
        <v>125</v>
      </c>
      <c r="H8" s="1" t="s">
        <v>126</v>
      </c>
      <c r="I8" s="1">
        <v>39.5</v>
      </c>
      <c r="J8" s="4">
        <v>44701</v>
      </c>
      <c r="K8" s="1" t="s">
        <v>135</v>
      </c>
      <c r="L8" s="1" t="s">
        <v>136</v>
      </c>
      <c r="M8" s="1" t="s">
        <v>115</v>
      </c>
      <c r="P8" s="1" t="s">
        <v>115</v>
      </c>
      <c r="S8" s="1" t="s">
        <v>116</v>
      </c>
      <c r="T8" s="1" t="s">
        <v>137</v>
      </c>
      <c r="U8" s="5" t="s">
        <v>138</v>
      </c>
      <c r="V8" s="1">
        <v>15</v>
      </c>
      <c r="W8" s="1">
        <v>34</v>
      </c>
      <c r="X8" s="1">
        <v>2.266666667</v>
      </c>
      <c r="Y8" s="1">
        <f t="shared" si="1"/>
        <v>2</v>
      </c>
      <c r="Z8" s="1">
        <v>1</v>
      </c>
      <c r="AA8" s="1">
        <f t="shared" si="0"/>
        <v>4</v>
      </c>
      <c r="AB8" s="1">
        <f t="shared" si="2"/>
        <v>1</v>
      </c>
      <c r="AC8" s="1">
        <v>0</v>
      </c>
      <c r="AD8" s="1">
        <v>0</v>
      </c>
      <c r="AE8" s="1" t="s">
        <v>119</v>
      </c>
      <c r="AF8" s="1" t="s">
        <v>124</v>
      </c>
      <c r="AG8" s="1" t="s">
        <v>119</v>
      </c>
      <c r="AH8" s="1">
        <v>0</v>
      </c>
    </row>
    <row r="9" spans="1:35" ht="16" customHeight="1" x14ac:dyDescent="0.15">
      <c r="A9" s="1" t="s">
        <v>10</v>
      </c>
      <c r="B9" s="1" t="s">
        <v>3</v>
      </c>
      <c r="C9" s="1">
        <v>30</v>
      </c>
      <c r="D9" s="1" t="s">
        <v>120</v>
      </c>
      <c r="E9" s="1" t="s">
        <v>107</v>
      </c>
      <c r="F9" s="1" t="s">
        <v>108</v>
      </c>
      <c r="G9" s="1" t="s">
        <v>109</v>
      </c>
      <c r="H9" s="1" t="s">
        <v>110</v>
      </c>
      <c r="I9" s="1">
        <v>24.5</v>
      </c>
      <c r="J9" s="4">
        <v>44708</v>
      </c>
      <c r="K9" s="1" t="s">
        <v>111</v>
      </c>
      <c r="L9" s="1" t="s">
        <v>112</v>
      </c>
      <c r="M9" s="1" t="s">
        <v>115</v>
      </c>
      <c r="P9" s="1" t="s">
        <v>115</v>
      </c>
      <c r="S9" s="1" t="s">
        <v>116</v>
      </c>
      <c r="T9" s="1" t="s">
        <v>117</v>
      </c>
      <c r="U9" s="5" t="s">
        <v>139</v>
      </c>
      <c r="V9" s="1">
        <v>25</v>
      </c>
      <c r="W9" s="1">
        <v>16</v>
      </c>
      <c r="X9" s="1">
        <v>0.64</v>
      </c>
      <c r="Y9" s="1">
        <f t="shared" si="1"/>
        <v>0</v>
      </c>
      <c r="Z9" s="1">
        <v>0</v>
      </c>
      <c r="AA9" s="1">
        <f t="shared" si="0"/>
        <v>0</v>
      </c>
      <c r="AB9" s="1">
        <f t="shared" si="2"/>
        <v>0</v>
      </c>
      <c r="AC9" s="1" t="s">
        <v>140</v>
      </c>
      <c r="AD9" s="1">
        <v>1</v>
      </c>
      <c r="AE9" s="1" t="s">
        <v>128</v>
      </c>
      <c r="AF9" s="1" t="s">
        <v>119</v>
      </c>
      <c r="AG9" s="1" t="s">
        <v>119</v>
      </c>
      <c r="AH9" s="1">
        <v>0</v>
      </c>
    </row>
    <row r="10" spans="1:35" ht="16" customHeight="1" x14ac:dyDescent="0.15">
      <c r="A10" s="1" t="s">
        <v>11</v>
      </c>
      <c r="B10" s="1" t="s">
        <v>3</v>
      </c>
      <c r="C10" s="1">
        <v>73</v>
      </c>
      <c r="D10" s="1" t="s">
        <v>106</v>
      </c>
      <c r="E10" s="1" t="s">
        <v>107</v>
      </c>
      <c r="F10" s="1" t="s">
        <v>108</v>
      </c>
      <c r="G10" s="1" t="s">
        <v>109</v>
      </c>
      <c r="H10" s="1" t="s">
        <v>110</v>
      </c>
      <c r="I10" s="1">
        <v>19.3</v>
      </c>
      <c r="J10" s="4">
        <v>44715</v>
      </c>
      <c r="K10" s="1" t="s">
        <v>111</v>
      </c>
      <c r="L10" s="1" t="s">
        <v>112</v>
      </c>
      <c r="M10" s="1" t="s">
        <v>115</v>
      </c>
      <c r="P10" s="1" t="s">
        <v>115</v>
      </c>
      <c r="S10" s="1" t="s">
        <v>116</v>
      </c>
      <c r="T10" s="1" t="s">
        <v>117</v>
      </c>
      <c r="U10" s="5" t="s">
        <v>141</v>
      </c>
      <c r="V10" s="1" t="s">
        <v>140</v>
      </c>
      <c r="W10" s="1" t="s">
        <v>140</v>
      </c>
      <c r="X10" s="1" t="s">
        <v>140</v>
      </c>
      <c r="Y10" s="1" t="s">
        <v>140</v>
      </c>
      <c r="Z10" s="1">
        <v>1</v>
      </c>
      <c r="AA10" s="1" t="s">
        <v>140</v>
      </c>
      <c r="AB10" s="1" t="s">
        <v>140</v>
      </c>
      <c r="AC10" s="1">
        <v>0</v>
      </c>
      <c r="AD10" s="1">
        <v>0</v>
      </c>
      <c r="AE10" s="1" t="s">
        <v>119</v>
      </c>
      <c r="AF10" s="1" t="s">
        <v>119</v>
      </c>
      <c r="AG10" s="1" t="s">
        <v>119</v>
      </c>
      <c r="AH10" s="1">
        <v>0</v>
      </c>
    </row>
    <row r="11" spans="1:35" ht="16" customHeight="1" x14ac:dyDescent="0.15">
      <c r="A11" s="1" t="s">
        <v>12</v>
      </c>
      <c r="B11" s="1" t="s">
        <v>3</v>
      </c>
      <c r="C11" s="1">
        <v>63</v>
      </c>
      <c r="D11" s="1" t="s">
        <v>106</v>
      </c>
      <c r="E11" s="1" t="s">
        <v>107</v>
      </c>
      <c r="F11" s="1" t="s">
        <v>108</v>
      </c>
      <c r="G11" s="1" t="s">
        <v>109</v>
      </c>
      <c r="H11" s="1" t="s">
        <v>110</v>
      </c>
      <c r="I11" s="1">
        <v>30.1</v>
      </c>
      <c r="J11" s="4">
        <v>44743</v>
      </c>
      <c r="K11" s="1" t="s">
        <v>111</v>
      </c>
      <c r="L11" s="1" t="s">
        <v>112</v>
      </c>
      <c r="M11" s="1" t="s">
        <v>115</v>
      </c>
      <c r="P11" s="1" t="s">
        <v>115</v>
      </c>
      <c r="S11" s="1" t="s">
        <v>132</v>
      </c>
      <c r="T11" s="1" t="s">
        <v>117</v>
      </c>
      <c r="U11" s="5" t="s">
        <v>142</v>
      </c>
      <c r="V11" s="1">
        <v>15</v>
      </c>
      <c r="W11" s="1">
        <v>18</v>
      </c>
      <c r="X11" s="1">
        <v>1.2</v>
      </c>
      <c r="Y11" s="1">
        <f t="shared" si="1"/>
        <v>2</v>
      </c>
      <c r="Z11" s="1">
        <v>0</v>
      </c>
      <c r="AA11" s="1">
        <f>IF(I11 &gt;= 28, 1+Y11+Z11, 0+Y11+Z11)</f>
        <v>3</v>
      </c>
      <c r="AB11" s="1">
        <f t="shared" si="2"/>
        <v>1</v>
      </c>
      <c r="AC11" s="1">
        <v>1</v>
      </c>
      <c r="AD11" s="1">
        <v>1</v>
      </c>
      <c r="AE11" s="1" t="s">
        <v>128</v>
      </c>
      <c r="AF11" s="1" t="s">
        <v>119</v>
      </c>
      <c r="AG11" s="1" t="s">
        <v>119</v>
      </c>
      <c r="AH11" s="1">
        <v>2.5</v>
      </c>
    </row>
    <row r="12" spans="1:35" ht="16" customHeight="1" x14ac:dyDescent="0.15">
      <c r="A12" s="1" t="s">
        <v>13</v>
      </c>
      <c r="B12" s="1" t="s">
        <v>3</v>
      </c>
      <c r="C12" s="1">
        <v>68</v>
      </c>
      <c r="D12" s="1" t="s">
        <v>106</v>
      </c>
      <c r="E12" s="1" t="s">
        <v>107</v>
      </c>
      <c r="F12" s="1" t="s">
        <v>108</v>
      </c>
      <c r="G12" s="1" t="s">
        <v>109</v>
      </c>
      <c r="H12" s="1" t="s">
        <v>110</v>
      </c>
      <c r="I12" s="1">
        <v>40.799999999999997</v>
      </c>
      <c r="J12" s="4">
        <v>44747</v>
      </c>
      <c r="K12" s="1" t="s">
        <v>111</v>
      </c>
      <c r="L12" s="1" t="s">
        <v>143</v>
      </c>
      <c r="M12" s="1" t="s">
        <v>113</v>
      </c>
      <c r="N12" s="1" t="s">
        <v>114</v>
      </c>
      <c r="O12" s="1">
        <v>5</v>
      </c>
      <c r="P12" s="1" t="s">
        <v>115</v>
      </c>
      <c r="S12" s="1" t="s">
        <v>116</v>
      </c>
      <c r="T12" s="1" t="s">
        <v>117</v>
      </c>
      <c r="U12" s="5" t="s">
        <v>144</v>
      </c>
      <c r="V12" s="1">
        <v>23</v>
      </c>
      <c r="W12" s="1">
        <v>29</v>
      </c>
      <c r="X12" s="1">
        <v>1.2608695649999999</v>
      </c>
      <c r="Y12" s="1">
        <f t="shared" si="1"/>
        <v>2</v>
      </c>
      <c r="Z12" s="1">
        <v>0</v>
      </c>
      <c r="AA12" s="1">
        <f>IF(I12 &gt;= 28, 1+Y12+Z12, 0+Y12+Z12)</f>
        <v>3</v>
      </c>
      <c r="AB12" s="1">
        <f t="shared" si="2"/>
        <v>1</v>
      </c>
      <c r="AC12" s="1">
        <v>0</v>
      </c>
      <c r="AD12" s="1">
        <v>0</v>
      </c>
      <c r="AE12" s="1" t="s">
        <v>119</v>
      </c>
      <c r="AF12" s="1" t="s">
        <v>145</v>
      </c>
      <c r="AG12" s="1" t="s">
        <v>119</v>
      </c>
      <c r="AH12" s="1">
        <v>0</v>
      </c>
    </row>
    <row r="13" spans="1:35" ht="16" customHeight="1" x14ac:dyDescent="0.15">
      <c r="A13" s="1" t="s">
        <v>14</v>
      </c>
      <c r="B13" s="1" t="s">
        <v>3</v>
      </c>
      <c r="C13" s="1">
        <v>37</v>
      </c>
      <c r="D13" s="1" t="s">
        <v>120</v>
      </c>
      <c r="E13" s="1" t="s">
        <v>107</v>
      </c>
      <c r="F13" s="1" t="s">
        <v>108</v>
      </c>
      <c r="G13" s="1" t="s">
        <v>109</v>
      </c>
      <c r="H13" s="1" t="s">
        <v>110</v>
      </c>
      <c r="I13" s="1">
        <v>24.5</v>
      </c>
      <c r="J13" s="4">
        <v>44748</v>
      </c>
      <c r="K13" s="1" t="s">
        <v>111</v>
      </c>
      <c r="L13" s="1" t="s">
        <v>112</v>
      </c>
      <c r="M13" s="1" t="s">
        <v>115</v>
      </c>
      <c r="P13" s="1" t="s">
        <v>115</v>
      </c>
      <c r="S13" s="1" t="s">
        <v>146</v>
      </c>
      <c r="T13" s="1" t="s">
        <v>117</v>
      </c>
      <c r="U13" s="1" t="s">
        <v>147</v>
      </c>
      <c r="V13" s="1">
        <v>91</v>
      </c>
      <c r="W13" s="1">
        <v>59</v>
      </c>
      <c r="X13" s="1">
        <v>0.648351648</v>
      </c>
      <c r="Y13" s="1">
        <f t="shared" si="1"/>
        <v>0</v>
      </c>
      <c r="Z13" s="1">
        <v>0</v>
      </c>
      <c r="AA13" s="1">
        <f>IF(I13 &gt;= 28, 1+Y13+Z13, 0+Y13+Z13)</f>
        <v>0</v>
      </c>
      <c r="AB13" s="1">
        <f t="shared" si="2"/>
        <v>0</v>
      </c>
      <c r="AC13" s="1">
        <v>0</v>
      </c>
      <c r="AD13" s="1">
        <v>0</v>
      </c>
      <c r="AE13" s="1" t="s">
        <v>119</v>
      </c>
      <c r="AF13" s="1" t="s">
        <v>119</v>
      </c>
      <c r="AG13" s="1" t="s">
        <v>119</v>
      </c>
      <c r="AH13" s="1">
        <v>0</v>
      </c>
    </row>
    <row r="14" spans="1:35" ht="16" customHeight="1" x14ac:dyDescent="0.15">
      <c r="A14" s="1" t="s">
        <v>15</v>
      </c>
      <c r="B14" s="1" t="s">
        <v>3</v>
      </c>
      <c r="C14" s="1">
        <v>71</v>
      </c>
      <c r="D14" s="1" t="s">
        <v>106</v>
      </c>
      <c r="E14" s="1" t="s">
        <v>107</v>
      </c>
      <c r="F14" s="1" t="s">
        <v>108</v>
      </c>
      <c r="G14" s="1" t="s">
        <v>125</v>
      </c>
      <c r="H14" s="1" t="s">
        <v>126</v>
      </c>
      <c r="I14" s="1">
        <v>25.1</v>
      </c>
      <c r="J14" s="4">
        <v>44791</v>
      </c>
      <c r="K14" s="1" t="s">
        <v>111</v>
      </c>
      <c r="L14" s="1" t="s">
        <v>143</v>
      </c>
      <c r="M14" s="1" t="s">
        <v>115</v>
      </c>
      <c r="P14" s="1" t="s">
        <v>115</v>
      </c>
      <c r="S14" s="1" t="s">
        <v>116</v>
      </c>
      <c r="T14" s="1" t="s">
        <v>117</v>
      </c>
      <c r="U14" s="1" t="s">
        <v>148</v>
      </c>
      <c r="V14" s="1" t="s">
        <v>140</v>
      </c>
      <c r="W14" s="1" t="s">
        <v>140</v>
      </c>
      <c r="X14" s="1" t="s">
        <v>140</v>
      </c>
      <c r="Y14" s="1" t="s">
        <v>140</v>
      </c>
      <c r="Z14" s="1">
        <v>0</v>
      </c>
      <c r="AA14" s="1" t="s">
        <v>140</v>
      </c>
      <c r="AB14" s="1" t="s">
        <v>140</v>
      </c>
      <c r="AC14" s="1">
        <v>0</v>
      </c>
      <c r="AD14" s="1">
        <v>0</v>
      </c>
      <c r="AE14" s="1" t="s">
        <v>119</v>
      </c>
      <c r="AF14" s="1" t="s">
        <v>119</v>
      </c>
      <c r="AG14" s="1" t="s">
        <v>119</v>
      </c>
      <c r="AH14" s="1">
        <v>0</v>
      </c>
      <c r="AI14" s="1" t="s">
        <v>149</v>
      </c>
    </row>
    <row r="15" spans="1:35" ht="16" customHeight="1" x14ac:dyDescent="0.15">
      <c r="A15" s="1" t="s">
        <v>16</v>
      </c>
      <c r="B15" s="1" t="s">
        <v>3</v>
      </c>
      <c r="C15" s="1">
        <v>29</v>
      </c>
      <c r="D15" s="1" t="s">
        <v>120</v>
      </c>
      <c r="E15" s="1" t="s">
        <v>107</v>
      </c>
      <c r="F15" s="1" t="s">
        <v>108</v>
      </c>
      <c r="G15" s="1" t="s">
        <v>125</v>
      </c>
      <c r="H15" s="1" t="s">
        <v>126</v>
      </c>
      <c r="I15" s="1">
        <v>23.6</v>
      </c>
      <c r="J15" s="4">
        <v>44805</v>
      </c>
      <c r="K15" s="1" t="s">
        <v>150</v>
      </c>
      <c r="M15" s="1" t="s">
        <v>115</v>
      </c>
      <c r="P15" s="1" t="s">
        <v>115</v>
      </c>
      <c r="S15" s="1" t="s">
        <v>116</v>
      </c>
      <c r="T15" s="1" t="s">
        <v>117</v>
      </c>
      <c r="U15" s="5" t="s">
        <v>151</v>
      </c>
      <c r="V15" s="1">
        <v>242</v>
      </c>
      <c r="W15" s="1">
        <v>71</v>
      </c>
      <c r="X15" s="1">
        <v>0.29338842999999998</v>
      </c>
      <c r="Y15" s="1">
        <f t="shared" si="1"/>
        <v>0</v>
      </c>
      <c r="Z15" s="1">
        <v>0</v>
      </c>
      <c r="AA15" s="1">
        <f t="shared" ref="AA15:AA44" si="3">IF(I15 &gt;= 28, 1+Y15+Z15, 0+Y15+Z15)</f>
        <v>0</v>
      </c>
      <c r="AB15" s="1">
        <f t="shared" si="2"/>
        <v>0</v>
      </c>
      <c r="AC15" s="1">
        <v>1</v>
      </c>
      <c r="AD15" s="1">
        <v>1</v>
      </c>
      <c r="AE15" s="1" t="s">
        <v>128</v>
      </c>
      <c r="AF15" s="1" t="s">
        <v>129</v>
      </c>
      <c r="AG15" s="1" t="s">
        <v>119</v>
      </c>
      <c r="AH15" s="1">
        <v>10</v>
      </c>
      <c r="AI15" s="1" t="s">
        <v>149</v>
      </c>
    </row>
    <row r="16" spans="1:35" ht="16" customHeight="1" x14ac:dyDescent="0.15">
      <c r="A16" s="1" t="s">
        <v>17</v>
      </c>
      <c r="B16" s="1" t="s">
        <v>3</v>
      </c>
      <c r="C16" s="1">
        <v>22</v>
      </c>
      <c r="D16" s="1" t="s">
        <v>120</v>
      </c>
      <c r="E16" s="1" t="s">
        <v>121</v>
      </c>
      <c r="F16" s="1" t="s">
        <v>108</v>
      </c>
      <c r="G16" s="1" t="s">
        <v>109</v>
      </c>
      <c r="H16" s="1" t="s">
        <v>110</v>
      </c>
      <c r="I16" s="1">
        <v>41.2</v>
      </c>
      <c r="J16" s="4">
        <v>44818</v>
      </c>
      <c r="K16" s="1" t="s">
        <v>135</v>
      </c>
      <c r="L16" s="1" t="s">
        <v>152</v>
      </c>
      <c r="M16" s="1" t="s">
        <v>115</v>
      </c>
      <c r="P16" s="1" t="s">
        <v>115</v>
      </c>
      <c r="S16" s="1" t="s">
        <v>116</v>
      </c>
      <c r="T16" s="1" t="s">
        <v>117</v>
      </c>
      <c r="U16" s="5" t="s">
        <v>153</v>
      </c>
      <c r="V16" s="1">
        <v>29</v>
      </c>
      <c r="W16" s="1">
        <v>24</v>
      </c>
      <c r="X16" s="1">
        <v>0.82758620699999996</v>
      </c>
      <c r="Y16" s="1">
        <f t="shared" si="1"/>
        <v>2</v>
      </c>
      <c r="Z16" s="1">
        <v>0</v>
      </c>
      <c r="AA16" s="1">
        <f t="shared" si="3"/>
        <v>3</v>
      </c>
      <c r="AB16" s="1">
        <f t="shared" si="2"/>
        <v>1</v>
      </c>
      <c r="AC16" s="1">
        <v>0</v>
      </c>
      <c r="AD16" s="1">
        <v>0</v>
      </c>
      <c r="AE16" s="1" t="s">
        <v>119</v>
      </c>
      <c r="AF16" s="1" t="s">
        <v>124</v>
      </c>
      <c r="AG16" s="1" t="s">
        <v>124</v>
      </c>
      <c r="AH16" s="1">
        <v>0</v>
      </c>
    </row>
    <row r="17" spans="1:35" ht="16" customHeight="1" x14ac:dyDescent="0.15">
      <c r="A17" s="1" t="s">
        <v>18</v>
      </c>
      <c r="B17" s="1" t="s">
        <v>3</v>
      </c>
      <c r="C17" s="1">
        <v>77</v>
      </c>
      <c r="D17" s="1" t="s">
        <v>106</v>
      </c>
      <c r="E17" s="1" t="s">
        <v>107</v>
      </c>
      <c r="F17" s="1" t="s">
        <v>108</v>
      </c>
      <c r="G17" s="1" t="s">
        <v>109</v>
      </c>
      <c r="H17" s="1" t="s">
        <v>110</v>
      </c>
      <c r="I17" s="1">
        <v>24.4</v>
      </c>
      <c r="J17" s="4">
        <v>44845</v>
      </c>
      <c r="K17" s="1" t="s">
        <v>111</v>
      </c>
      <c r="L17" s="1" t="s">
        <v>112</v>
      </c>
      <c r="M17" s="1" t="s">
        <v>115</v>
      </c>
      <c r="P17" s="1" t="s">
        <v>115</v>
      </c>
      <c r="S17" s="1" t="s">
        <v>116</v>
      </c>
      <c r="T17" s="1" t="s">
        <v>117</v>
      </c>
      <c r="U17" s="5" t="s">
        <v>154</v>
      </c>
      <c r="V17" s="1">
        <v>14</v>
      </c>
      <c r="W17" s="1">
        <v>20</v>
      </c>
      <c r="X17" s="1">
        <v>1.428571429</v>
      </c>
      <c r="Y17" s="1">
        <f t="shared" si="1"/>
        <v>2</v>
      </c>
      <c r="Z17" s="1">
        <v>0</v>
      </c>
      <c r="AA17" s="1">
        <f t="shared" si="3"/>
        <v>2</v>
      </c>
      <c r="AB17" s="1">
        <f t="shared" si="2"/>
        <v>1</v>
      </c>
      <c r="AC17" s="1">
        <v>1</v>
      </c>
      <c r="AD17" s="1">
        <v>1</v>
      </c>
      <c r="AE17" s="1" t="s">
        <v>155</v>
      </c>
      <c r="AF17" s="1" t="s">
        <v>124</v>
      </c>
      <c r="AG17" s="1" t="s">
        <v>124</v>
      </c>
      <c r="AH17" s="1">
        <v>0</v>
      </c>
    </row>
    <row r="18" spans="1:35" ht="16" customHeight="1" x14ac:dyDescent="0.15">
      <c r="A18" s="1" t="s">
        <v>19</v>
      </c>
      <c r="B18" s="1" t="s">
        <v>3</v>
      </c>
      <c r="C18" s="1">
        <v>64</v>
      </c>
      <c r="D18" s="1" t="s">
        <v>106</v>
      </c>
      <c r="E18" s="1" t="s">
        <v>107</v>
      </c>
      <c r="F18" s="1" t="s">
        <v>108</v>
      </c>
      <c r="G18" s="1" t="s">
        <v>109</v>
      </c>
      <c r="H18" s="1" t="s">
        <v>110</v>
      </c>
      <c r="I18" s="1">
        <v>52.8</v>
      </c>
      <c r="J18" s="4">
        <v>44860</v>
      </c>
      <c r="K18" s="1" t="s">
        <v>135</v>
      </c>
      <c r="L18" s="1" t="s">
        <v>152</v>
      </c>
      <c r="M18" s="1" t="s">
        <v>113</v>
      </c>
      <c r="N18" s="1" t="s">
        <v>156</v>
      </c>
      <c r="O18" s="1">
        <v>9</v>
      </c>
      <c r="P18" s="1" t="s">
        <v>115</v>
      </c>
      <c r="S18" s="1" t="s">
        <v>132</v>
      </c>
      <c r="T18" s="1" t="s">
        <v>122</v>
      </c>
      <c r="U18" s="1" t="s">
        <v>157</v>
      </c>
      <c r="V18" s="1">
        <v>40</v>
      </c>
      <c r="W18" s="1">
        <v>43</v>
      </c>
      <c r="X18" s="1">
        <v>1.075</v>
      </c>
      <c r="Y18" s="1">
        <f t="shared" si="1"/>
        <v>2</v>
      </c>
      <c r="Z18" s="1">
        <v>0</v>
      </c>
      <c r="AA18" s="1">
        <f t="shared" si="3"/>
        <v>3</v>
      </c>
      <c r="AB18" s="1">
        <f t="shared" si="2"/>
        <v>1</v>
      </c>
      <c r="AC18" s="1">
        <v>0</v>
      </c>
      <c r="AD18" s="1">
        <v>0</v>
      </c>
      <c r="AE18" s="1" t="s">
        <v>119</v>
      </c>
      <c r="AF18" s="1" t="s">
        <v>129</v>
      </c>
      <c r="AG18" s="1" t="s">
        <v>119</v>
      </c>
      <c r="AH18" s="1">
        <v>0</v>
      </c>
    </row>
    <row r="19" spans="1:35" ht="16" customHeight="1" x14ac:dyDescent="0.15">
      <c r="A19" s="1" t="s">
        <v>20</v>
      </c>
      <c r="B19" s="1" t="s">
        <v>3</v>
      </c>
      <c r="C19" s="1">
        <v>33</v>
      </c>
      <c r="D19" s="1" t="s">
        <v>120</v>
      </c>
      <c r="E19" s="1" t="s">
        <v>107</v>
      </c>
      <c r="F19" s="1" t="s">
        <v>108</v>
      </c>
      <c r="G19" s="1" t="s">
        <v>109</v>
      </c>
      <c r="H19" s="1" t="s">
        <v>110</v>
      </c>
      <c r="I19" s="1">
        <v>41.1</v>
      </c>
      <c r="J19" s="4">
        <v>44897</v>
      </c>
      <c r="K19" s="1" t="s">
        <v>135</v>
      </c>
      <c r="L19" s="1" t="s">
        <v>152</v>
      </c>
      <c r="M19" s="1" t="s">
        <v>115</v>
      </c>
      <c r="P19" s="1" t="s">
        <v>115</v>
      </c>
      <c r="S19" s="1" t="s">
        <v>116</v>
      </c>
      <c r="T19" s="1" t="s">
        <v>122</v>
      </c>
      <c r="U19" s="5" t="s">
        <v>158</v>
      </c>
      <c r="V19" s="1">
        <v>36</v>
      </c>
      <c r="W19" s="1">
        <v>23</v>
      </c>
      <c r="X19" s="1">
        <v>0.63888888899999996</v>
      </c>
      <c r="Y19" s="1">
        <f t="shared" si="1"/>
        <v>0</v>
      </c>
      <c r="Z19" s="1">
        <v>1</v>
      </c>
      <c r="AA19" s="1">
        <f t="shared" si="3"/>
        <v>2</v>
      </c>
      <c r="AB19" s="1">
        <f t="shared" si="2"/>
        <v>1</v>
      </c>
      <c r="AC19" s="1">
        <v>1</v>
      </c>
      <c r="AD19" s="1">
        <v>0</v>
      </c>
      <c r="AE19" s="1" t="s">
        <v>128</v>
      </c>
      <c r="AF19" s="1" t="s">
        <v>119</v>
      </c>
      <c r="AG19" s="1" t="s">
        <v>119</v>
      </c>
      <c r="AH19" s="1">
        <v>5</v>
      </c>
    </row>
    <row r="20" spans="1:35" ht="16" customHeight="1" x14ac:dyDescent="0.15">
      <c r="A20" s="1" t="s">
        <v>21</v>
      </c>
      <c r="B20" s="1" t="s">
        <v>3</v>
      </c>
      <c r="C20" s="1">
        <v>88</v>
      </c>
      <c r="D20" s="1" t="s">
        <v>106</v>
      </c>
      <c r="E20" s="1" t="s">
        <v>107</v>
      </c>
      <c r="F20" s="1" t="s">
        <v>108</v>
      </c>
      <c r="G20" s="1" t="s">
        <v>125</v>
      </c>
      <c r="H20" s="1" t="s">
        <v>126</v>
      </c>
      <c r="I20" s="1">
        <v>28.1</v>
      </c>
      <c r="J20" s="4">
        <v>44903</v>
      </c>
      <c r="K20" s="1" t="s">
        <v>111</v>
      </c>
      <c r="L20" s="1" t="s">
        <v>112</v>
      </c>
      <c r="M20" s="1" t="s">
        <v>113</v>
      </c>
      <c r="N20" s="1" t="s">
        <v>114</v>
      </c>
      <c r="O20" s="1">
        <v>42</v>
      </c>
      <c r="P20" s="1" t="s">
        <v>115</v>
      </c>
      <c r="S20" s="1" t="s">
        <v>132</v>
      </c>
      <c r="T20" s="1" t="s">
        <v>117</v>
      </c>
      <c r="U20" s="5" t="s">
        <v>159</v>
      </c>
      <c r="V20" s="1">
        <v>83</v>
      </c>
      <c r="W20" s="1">
        <v>50</v>
      </c>
      <c r="X20" s="1">
        <v>0.602409639</v>
      </c>
      <c r="Y20" s="1">
        <f t="shared" si="1"/>
        <v>0</v>
      </c>
      <c r="Z20" s="1">
        <v>0</v>
      </c>
      <c r="AA20" s="1">
        <f t="shared" si="3"/>
        <v>1</v>
      </c>
      <c r="AB20" s="1">
        <f t="shared" si="2"/>
        <v>0</v>
      </c>
      <c r="AC20" s="1" t="s">
        <v>140</v>
      </c>
      <c r="AD20" s="1" t="s">
        <v>140</v>
      </c>
      <c r="AE20" s="1" t="s">
        <v>160</v>
      </c>
      <c r="AF20" s="1" t="s">
        <v>119</v>
      </c>
      <c r="AG20" s="1" t="s">
        <v>124</v>
      </c>
      <c r="AH20" s="1">
        <v>0</v>
      </c>
      <c r="AI20" s="1" t="s">
        <v>161</v>
      </c>
    </row>
    <row r="21" spans="1:35" ht="16" customHeight="1" x14ac:dyDescent="0.15">
      <c r="A21" s="1" t="s">
        <v>22</v>
      </c>
      <c r="B21" s="1" t="s">
        <v>3</v>
      </c>
      <c r="C21" s="1">
        <v>73</v>
      </c>
      <c r="D21" s="1" t="s">
        <v>106</v>
      </c>
      <c r="E21" s="1" t="s">
        <v>107</v>
      </c>
      <c r="F21" s="1" t="s">
        <v>108</v>
      </c>
      <c r="G21" s="1" t="s">
        <v>125</v>
      </c>
      <c r="H21" s="1" t="s">
        <v>126</v>
      </c>
      <c r="I21" s="1">
        <v>29.2</v>
      </c>
      <c r="J21" s="4">
        <v>44916</v>
      </c>
      <c r="K21" s="1" t="s">
        <v>111</v>
      </c>
      <c r="L21" s="1" t="s">
        <v>112</v>
      </c>
      <c r="M21" s="1" t="s">
        <v>115</v>
      </c>
      <c r="P21" s="1" t="s">
        <v>115</v>
      </c>
      <c r="S21" s="1" t="s">
        <v>132</v>
      </c>
      <c r="T21" s="1" t="s">
        <v>122</v>
      </c>
      <c r="U21" s="5" t="s">
        <v>162</v>
      </c>
      <c r="V21" s="1">
        <v>22</v>
      </c>
      <c r="W21" s="1">
        <v>20</v>
      </c>
      <c r="X21" s="1">
        <v>0.909090909</v>
      </c>
      <c r="Y21" s="1">
        <f t="shared" si="1"/>
        <v>2</v>
      </c>
      <c r="Z21" s="1">
        <v>0</v>
      </c>
      <c r="AA21" s="1">
        <f t="shared" si="3"/>
        <v>3</v>
      </c>
      <c r="AB21" s="1">
        <f t="shared" si="2"/>
        <v>1</v>
      </c>
      <c r="AC21" s="1">
        <v>1</v>
      </c>
      <c r="AD21" s="1">
        <v>0</v>
      </c>
      <c r="AE21" s="1" t="s">
        <v>128</v>
      </c>
      <c r="AF21" s="1" t="s">
        <v>119</v>
      </c>
      <c r="AG21" s="1" t="s">
        <v>119</v>
      </c>
      <c r="AH21" s="1">
        <v>10</v>
      </c>
    </row>
    <row r="22" spans="1:35" ht="16" customHeight="1" x14ac:dyDescent="0.15">
      <c r="A22" s="1" t="s">
        <v>23</v>
      </c>
      <c r="B22" s="1" t="s">
        <v>3</v>
      </c>
      <c r="C22" s="1">
        <v>68</v>
      </c>
      <c r="D22" s="1" t="s">
        <v>106</v>
      </c>
      <c r="E22" s="1" t="s">
        <v>107</v>
      </c>
      <c r="F22" s="1" t="s">
        <v>108</v>
      </c>
      <c r="G22" s="1" t="s">
        <v>109</v>
      </c>
      <c r="H22" s="1" t="s">
        <v>110</v>
      </c>
      <c r="I22" s="1">
        <v>23</v>
      </c>
      <c r="J22" s="4">
        <v>44923</v>
      </c>
      <c r="K22" s="1" t="s">
        <v>111</v>
      </c>
      <c r="L22" s="1" t="s">
        <v>112</v>
      </c>
      <c r="M22" s="1" t="s">
        <v>115</v>
      </c>
      <c r="P22" s="1" t="s">
        <v>115</v>
      </c>
      <c r="S22" s="1" t="s">
        <v>116</v>
      </c>
      <c r="T22" s="1" t="s">
        <v>137</v>
      </c>
      <c r="U22" s="5" t="s">
        <v>163</v>
      </c>
      <c r="V22" s="1">
        <v>26</v>
      </c>
      <c r="W22" s="1">
        <v>23</v>
      </c>
      <c r="X22" s="1">
        <v>0.88461538500000003</v>
      </c>
      <c r="Y22" s="1">
        <f t="shared" si="1"/>
        <v>2</v>
      </c>
      <c r="Z22" s="1">
        <v>0</v>
      </c>
      <c r="AA22" s="1">
        <f t="shared" si="3"/>
        <v>2</v>
      </c>
      <c r="AB22" s="1">
        <f t="shared" si="2"/>
        <v>1</v>
      </c>
      <c r="AC22" s="1">
        <v>2</v>
      </c>
      <c r="AD22" s="1">
        <v>2</v>
      </c>
      <c r="AE22" s="1" t="s">
        <v>131</v>
      </c>
      <c r="AF22" s="1" t="s">
        <v>164</v>
      </c>
      <c r="AG22" s="1" t="s">
        <v>119</v>
      </c>
      <c r="AH22" s="1">
        <v>0</v>
      </c>
    </row>
    <row r="23" spans="1:35" ht="16" customHeight="1" x14ac:dyDescent="0.15">
      <c r="A23" s="1" t="s">
        <v>24</v>
      </c>
      <c r="B23" s="1" t="s">
        <v>3</v>
      </c>
      <c r="C23" s="1">
        <v>28</v>
      </c>
      <c r="D23" s="1" t="s">
        <v>120</v>
      </c>
      <c r="E23" s="1" t="s">
        <v>107</v>
      </c>
      <c r="F23" s="1" t="s">
        <v>108</v>
      </c>
      <c r="G23" s="1" t="s">
        <v>109</v>
      </c>
      <c r="H23" s="1" t="s">
        <v>110</v>
      </c>
      <c r="I23" s="1">
        <v>38.1</v>
      </c>
      <c r="J23" s="4">
        <v>44981</v>
      </c>
      <c r="K23" s="1" t="s">
        <v>111</v>
      </c>
      <c r="L23" s="1" t="s">
        <v>112</v>
      </c>
      <c r="M23" s="1" t="s">
        <v>115</v>
      </c>
      <c r="P23" s="1" t="s">
        <v>115</v>
      </c>
      <c r="S23" s="1" t="s">
        <v>132</v>
      </c>
      <c r="T23" s="1" t="s">
        <v>117</v>
      </c>
      <c r="U23" s="5" t="s">
        <v>165</v>
      </c>
      <c r="V23" s="1">
        <v>77</v>
      </c>
      <c r="W23" s="1">
        <v>26</v>
      </c>
      <c r="X23" s="1">
        <v>0.33766233800000001</v>
      </c>
      <c r="Y23" s="1">
        <f t="shared" si="1"/>
        <v>0</v>
      </c>
      <c r="Z23" s="1">
        <v>0</v>
      </c>
      <c r="AA23" s="1">
        <f t="shared" si="3"/>
        <v>1</v>
      </c>
      <c r="AB23" s="1">
        <f t="shared" si="2"/>
        <v>0</v>
      </c>
      <c r="AC23" s="1">
        <v>0</v>
      </c>
      <c r="AD23" s="1">
        <v>0</v>
      </c>
      <c r="AE23" s="1" t="s">
        <v>119</v>
      </c>
      <c r="AF23" s="1" t="s">
        <v>119</v>
      </c>
      <c r="AG23" s="1" t="s">
        <v>119</v>
      </c>
      <c r="AH23" s="1">
        <v>0</v>
      </c>
    </row>
    <row r="24" spans="1:35" ht="16" customHeight="1" x14ac:dyDescent="0.15">
      <c r="A24" s="1" t="s">
        <v>25</v>
      </c>
      <c r="B24" s="1" t="s">
        <v>3</v>
      </c>
      <c r="C24" s="1">
        <v>72</v>
      </c>
      <c r="D24" s="1" t="s">
        <v>106</v>
      </c>
      <c r="E24" s="1" t="s">
        <v>107</v>
      </c>
      <c r="F24" s="1" t="s">
        <v>108</v>
      </c>
      <c r="G24" s="1" t="s">
        <v>125</v>
      </c>
      <c r="H24" s="1" t="s">
        <v>126</v>
      </c>
      <c r="I24" s="1">
        <v>26.4</v>
      </c>
      <c r="J24" s="4">
        <v>44992</v>
      </c>
      <c r="K24" s="1" t="s">
        <v>111</v>
      </c>
      <c r="L24" s="1" t="s">
        <v>112</v>
      </c>
      <c r="M24" s="1" t="s">
        <v>113</v>
      </c>
      <c r="N24" s="1" t="s">
        <v>115</v>
      </c>
      <c r="P24" s="1" t="s">
        <v>115</v>
      </c>
      <c r="R24" s="1" t="s">
        <v>113</v>
      </c>
      <c r="S24" s="1" t="s">
        <v>132</v>
      </c>
      <c r="T24" s="1" t="s">
        <v>117</v>
      </c>
      <c r="U24" s="5" t="s">
        <v>166</v>
      </c>
      <c r="V24" s="1">
        <v>25</v>
      </c>
      <c r="W24" s="1">
        <v>35</v>
      </c>
      <c r="X24" s="1">
        <v>1.4</v>
      </c>
      <c r="Y24" s="1">
        <f t="shared" si="1"/>
        <v>2</v>
      </c>
      <c r="Z24" s="1">
        <v>0</v>
      </c>
      <c r="AA24" s="1">
        <f t="shared" si="3"/>
        <v>2</v>
      </c>
      <c r="AB24" s="1">
        <f t="shared" si="2"/>
        <v>1</v>
      </c>
      <c r="AC24" s="1">
        <v>2</v>
      </c>
      <c r="AD24" s="1">
        <v>2</v>
      </c>
      <c r="AE24" s="1" t="s">
        <v>131</v>
      </c>
      <c r="AF24" s="1" t="s">
        <v>124</v>
      </c>
      <c r="AG24" s="1" t="s">
        <v>119</v>
      </c>
      <c r="AH24" s="1">
        <v>5</v>
      </c>
      <c r="AI24" s="1" t="s">
        <v>167</v>
      </c>
    </row>
    <row r="25" spans="1:35" ht="16" customHeight="1" x14ac:dyDescent="0.15">
      <c r="A25" s="1" t="s">
        <v>26</v>
      </c>
      <c r="B25" s="1" t="s">
        <v>3</v>
      </c>
      <c r="C25" s="1">
        <v>75</v>
      </c>
      <c r="D25" s="1" t="s">
        <v>106</v>
      </c>
      <c r="E25" s="1" t="s">
        <v>107</v>
      </c>
      <c r="F25" s="1" t="s">
        <v>108</v>
      </c>
      <c r="G25" s="1" t="s">
        <v>109</v>
      </c>
      <c r="H25" s="1" t="s">
        <v>110</v>
      </c>
      <c r="I25" s="1">
        <v>29.3</v>
      </c>
      <c r="J25" s="4">
        <v>45008</v>
      </c>
      <c r="K25" s="1" t="s">
        <v>111</v>
      </c>
      <c r="L25" s="1" t="s">
        <v>112</v>
      </c>
      <c r="M25" s="1" t="s">
        <v>115</v>
      </c>
      <c r="P25" s="1" t="s">
        <v>115</v>
      </c>
      <c r="S25" s="1" t="s">
        <v>132</v>
      </c>
      <c r="T25" s="1" t="s">
        <v>122</v>
      </c>
      <c r="U25" s="5" t="s">
        <v>168</v>
      </c>
      <c r="V25" s="1">
        <v>12</v>
      </c>
      <c r="W25" s="1">
        <v>20</v>
      </c>
      <c r="X25" s="1">
        <v>1.6666666670000001</v>
      </c>
      <c r="Y25" s="1">
        <f t="shared" si="1"/>
        <v>2</v>
      </c>
      <c r="Z25" s="1">
        <v>0</v>
      </c>
      <c r="AA25" s="1">
        <f t="shared" si="3"/>
        <v>3</v>
      </c>
      <c r="AB25" s="1">
        <f t="shared" si="2"/>
        <v>1</v>
      </c>
      <c r="AC25" s="1">
        <v>0</v>
      </c>
      <c r="AD25" s="1">
        <v>0</v>
      </c>
      <c r="AE25" s="1" t="s">
        <v>119</v>
      </c>
      <c r="AF25" s="1" t="s">
        <v>119</v>
      </c>
      <c r="AG25" s="1" t="s">
        <v>119</v>
      </c>
      <c r="AH25" s="1">
        <v>0</v>
      </c>
      <c r="AI25" s="1" t="s">
        <v>169</v>
      </c>
    </row>
    <row r="26" spans="1:35" ht="17" customHeight="1" x14ac:dyDescent="0.15">
      <c r="A26" s="1" t="s">
        <v>27</v>
      </c>
      <c r="B26" s="1" t="s">
        <v>3</v>
      </c>
      <c r="C26" s="1">
        <v>72</v>
      </c>
      <c r="D26" s="1" t="s">
        <v>106</v>
      </c>
      <c r="E26" s="1" t="s">
        <v>121</v>
      </c>
      <c r="F26" s="1" t="s">
        <v>108</v>
      </c>
      <c r="G26" s="1" t="s">
        <v>125</v>
      </c>
      <c r="H26" s="1" t="s">
        <v>126</v>
      </c>
      <c r="I26" s="1">
        <v>32.5</v>
      </c>
      <c r="J26" s="4">
        <v>45013</v>
      </c>
      <c r="K26" s="1" t="s">
        <v>111</v>
      </c>
      <c r="L26" s="1" t="s">
        <v>112</v>
      </c>
      <c r="M26" s="1" t="s">
        <v>113</v>
      </c>
      <c r="N26" s="1" t="s">
        <v>114</v>
      </c>
      <c r="O26" s="1">
        <v>19</v>
      </c>
      <c r="P26" s="1" t="s">
        <v>115</v>
      </c>
      <c r="S26" s="1" t="s">
        <v>132</v>
      </c>
      <c r="T26" s="1" t="s">
        <v>117</v>
      </c>
      <c r="U26" s="5" t="s">
        <v>170</v>
      </c>
      <c r="V26" s="1">
        <v>7</v>
      </c>
      <c r="W26" s="1">
        <v>8</v>
      </c>
      <c r="X26" s="1">
        <v>1.1428571430000001</v>
      </c>
      <c r="Y26" s="1">
        <f t="shared" si="1"/>
        <v>2</v>
      </c>
      <c r="Z26" s="1">
        <v>1</v>
      </c>
      <c r="AA26" s="1">
        <f t="shared" si="3"/>
        <v>4</v>
      </c>
      <c r="AB26" s="1">
        <f t="shared" si="2"/>
        <v>1</v>
      </c>
      <c r="AC26" s="1">
        <v>1</v>
      </c>
      <c r="AD26" s="1">
        <v>1</v>
      </c>
      <c r="AE26" s="1" t="s">
        <v>128</v>
      </c>
      <c r="AF26" s="1" t="s">
        <v>129</v>
      </c>
      <c r="AG26" s="1" t="s">
        <v>124</v>
      </c>
      <c r="AH26" s="1">
        <v>0</v>
      </c>
    </row>
    <row r="27" spans="1:35" ht="16" customHeight="1" x14ac:dyDescent="0.15">
      <c r="A27" s="1" t="s">
        <v>28</v>
      </c>
      <c r="B27" s="1" t="s">
        <v>3</v>
      </c>
      <c r="C27" s="1">
        <v>62</v>
      </c>
      <c r="D27" s="1" t="s">
        <v>106</v>
      </c>
      <c r="E27" s="1" t="s">
        <v>107</v>
      </c>
      <c r="F27" s="1" t="s">
        <v>108</v>
      </c>
      <c r="G27" s="1" t="s">
        <v>125</v>
      </c>
      <c r="H27" s="1" t="s">
        <v>126</v>
      </c>
      <c r="I27" s="1">
        <v>19.5</v>
      </c>
      <c r="J27" s="4">
        <v>45020</v>
      </c>
      <c r="K27" s="1" t="s">
        <v>111</v>
      </c>
      <c r="L27" s="1" t="s">
        <v>112</v>
      </c>
      <c r="M27" s="1" t="s">
        <v>115</v>
      </c>
      <c r="P27" s="1" t="s">
        <v>115</v>
      </c>
      <c r="R27" s="1" t="s">
        <v>113</v>
      </c>
      <c r="S27" s="1" t="s">
        <v>132</v>
      </c>
      <c r="T27" s="1" t="s">
        <v>117</v>
      </c>
      <c r="U27" s="5" t="s">
        <v>171</v>
      </c>
      <c r="V27" s="1">
        <v>36</v>
      </c>
      <c r="W27" s="1">
        <v>38</v>
      </c>
      <c r="X27" s="1">
        <v>1.0555555560000001</v>
      </c>
      <c r="Y27" s="1">
        <f t="shared" si="1"/>
        <v>2</v>
      </c>
      <c r="Z27" s="1">
        <v>0</v>
      </c>
      <c r="AA27" s="1">
        <f t="shared" si="3"/>
        <v>2</v>
      </c>
      <c r="AB27" s="1">
        <f t="shared" si="2"/>
        <v>1</v>
      </c>
      <c r="AC27" s="1">
        <v>3</v>
      </c>
      <c r="AD27" s="1">
        <v>3</v>
      </c>
      <c r="AE27" s="1" t="s">
        <v>172</v>
      </c>
      <c r="AF27" s="1" t="s">
        <v>173</v>
      </c>
      <c r="AG27" s="1" t="s">
        <v>119</v>
      </c>
      <c r="AH27" s="1">
        <v>0</v>
      </c>
      <c r="AI27" s="1" t="s">
        <v>149</v>
      </c>
    </row>
    <row r="28" spans="1:35" ht="16" customHeight="1" x14ac:dyDescent="0.15">
      <c r="A28" s="1" t="s">
        <v>29</v>
      </c>
      <c r="B28" s="1" t="s">
        <v>3</v>
      </c>
      <c r="C28" s="1">
        <v>69</v>
      </c>
      <c r="D28" s="1" t="s">
        <v>106</v>
      </c>
      <c r="E28" s="1" t="s">
        <v>107</v>
      </c>
      <c r="F28" s="1" t="s">
        <v>108</v>
      </c>
      <c r="G28" s="1" t="s">
        <v>125</v>
      </c>
      <c r="H28" s="1" t="s">
        <v>126</v>
      </c>
      <c r="I28" s="1">
        <v>33.9</v>
      </c>
      <c r="J28" s="4">
        <v>45097</v>
      </c>
      <c r="K28" s="1" t="s">
        <v>111</v>
      </c>
      <c r="L28" s="1" t="s">
        <v>112</v>
      </c>
      <c r="M28" s="1" t="s">
        <v>115</v>
      </c>
      <c r="P28" s="1" t="s">
        <v>115</v>
      </c>
      <c r="S28" s="1" t="s">
        <v>116</v>
      </c>
      <c r="T28" s="1" t="s">
        <v>117</v>
      </c>
      <c r="U28" s="5" t="s">
        <v>174</v>
      </c>
      <c r="V28" s="1">
        <v>6</v>
      </c>
      <c r="W28" s="1">
        <v>14</v>
      </c>
      <c r="X28" s="1">
        <v>2.3333333330000001</v>
      </c>
      <c r="Y28" s="1">
        <f t="shared" si="1"/>
        <v>2</v>
      </c>
      <c r="Z28" s="1">
        <v>0</v>
      </c>
      <c r="AA28" s="1">
        <f t="shared" si="3"/>
        <v>3</v>
      </c>
      <c r="AB28" s="1">
        <f t="shared" si="2"/>
        <v>1</v>
      </c>
      <c r="AC28" s="1">
        <v>1</v>
      </c>
      <c r="AD28" s="1">
        <v>1</v>
      </c>
      <c r="AE28" s="1" t="s">
        <v>128</v>
      </c>
      <c r="AF28" s="1" t="s">
        <v>124</v>
      </c>
      <c r="AG28" s="1" t="s">
        <v>119</v>
      </c>
      <c r="AH28" s="1">
        <v>0</v>
      </c>
    </row>
    <row r="29" spans="1:35" ht="16" customHeight="1" x14ac:dyDescent="0.15">
      <c r="A29" s="1" t="s">
        <v>30</v>
      </c>
      <c r="B29" s="1" t="s">
        <v>3</v>
      </c>
      <c r="C29" s="1">
        <v>31</v>
      </c>
      <c r="D29" s="1" t="s">
        <v>120</v>
      </c>
      <c r="E29" s="1" t="s">
        <v>107</v>
      </c>
      <c r="F29" s="1" t="s">
        <v>108</v>
      </c>
      <c r="G29" s="1" t="s">
        <v>109</v>
      </c>
      <c r="H29" s="1" t="s">
        <v>110</v>
      </c>
      <c r="I29" s="1">
        <v>28.3</v>
      </c>
      <c r="J29" s="4">
        <v>45139</v>
      </c>
      <c r="K29" s="1" t="s">
        <v>111</v>
      </c>
      <c r="L29" s="1" t="s">
        <v>112</v>
      </c>
      <c r="M29" s="1" t="s">
        <v>115</v>
      </c>
      <c r="P29" s="1" t="s">
        <v>115</v>
      </c>
      <c r="S29" s="1" t="s">
        <v>116</v>
      </c>
      <c r="T29" s="1" t="s">
        <v>117</v>
      </c>
      <c r="U29" s="5" t="s">
        <v>175</v>
      </c>
      <c r="V29" s="1">
        <v>33</v>
      </c>
      <c r="W29" s="1">
        <v>26</v>
      </c>
      <c r="X29" s="1">
        <v>0.787878788</v>
      </c>
      <c r="Y29" s="1">
        <f t="shared" si="1"/>
        <v>0</v>
      </c>
      <c r="Z29" s="1">
        <v>0</v>
      </c>
      <c r="AA29" s="1">
        <f t="shared" si="3"/>
        <v>1</v>
      </c>
      <c r="AB29" s="1">
        <f t="shared" si="2"/>
        <v>0</v>
      </c>
      <c r="AC29" s="1">
        <v>0</v>
      </c>
      <c r="AD29" s="1">
        <v>0</v>
      </c>
      <c r="AE29" s="1" t="s">
        <v>119</v>
      </c>
      <c r="AF29" s="1" t="s">
        <v>119</v>
      </c>
      <c r="AG29" s="1" t="s">
        <v>119</v>
      </c>
      <c r="AH29" s="1">
        <v>0</v>
      </c>
    </row>
    <row r="30" spans="1:35" ht="16" customHeight="1" x14ac:dyDescent="0.15">
      <c r="A30" s="1" t="s">
        <v>31</v>
      </c>
      <c r="B30" s="1" t="s">
        <v>3</v>
      </c>
      <c r="C30" s="1">
        <v>37</v>
      </c>
      <c r="D30" s="1" t="s">
        <v>120</v>
      </c>
      <c r="E30" s="1" t="s">
        <v>107</v>
      </c>
      <c r="F30" s="1" t="s">
        <v>108</v>
      </c>
      <c r="G30" s="1" t="s">
        <v>125</v>
      </c>
      <c r="H30" s="1" t="s">
        <v>126</v>
      </c>
      <c r="I30" s="1">
        <v>20.100000000000001</v>
      </c>
      <c r="J30" s="4">
        <v>45141</v>
      </c>
      <c r="K30" s="1" t="s">
        <v>111</v>
      </c>
      <c r="L30" s="1" t="s">
        <v>112</v>
      </c>
      <c r="M30" s="1" t="s">
        <v>115</v>
      </c>
      <c r="P30" s="1" t="s">
        <v>115</v>
      </c>
      <c r="S30" s="1" t="s">
        <v>132</v>
      </c>
      <c r="T30" s="1" t="s">
        <v>117</v>
      </c>
      <c r="U30" s="5" t="s">
        <v>176</v>
      </c>
      <c r="V30" s="1">
        <v>11</v>
      </c>
      <c r="W30" s="1">
        <v>21</v>
      </c>
      <c r="X30" s="1">
        <v>1.9090909089999999</v>
      </c>
      <c r="Y30" s="1">
        <f t="shared" si="1"/>
        <v>2</v>
      </c>
      <c r="Z30" s="1">
        <v>0</v>
      </c>
      <c r="AA30" s="1">
        <f t="shared" si="3"/>
        <v>2</v>
      </c>
      <c r="AB30" s="1">
        <f t="shared" si="2"/>
        <v>1</v>
      </c>
      <c r="AC30" s="1">
        <v>0</v>
      </c>
      <c r="AD30" s="1">
        <v>0</v>
      </c>
      <c r="AE30" s="1" t="s">
        <v>119</v>
      </c>
      <c r="AF30" s="1" t="s">
        <v>119</v>
      </c>
      <c r="AG30" s="1" t="s">
        <v>119</v>
      </c>
      <c r="AH30" s="1">
        <v>0</v>
      </c>
      <c r="AI30" s="1" t="s">
        <v>169</v>
      </c>
    </row>
    <row r="31" spans="1:35" ht="16" customHeight="1" x14ac:dyDescent="0.15">
      <c r="A31" s="1" t="s">
        <v>32</v>
      </c>
      <c r="B31" s="1" t="s">
        <v>3</v>
      </c>
      <c r="C31" s="1">
        <v>26</v>
      </c>
      <c r="D31" s="1" t="s">
        <v>120</v>
      </c>
      <c r="E31" s="1" t="s">
        <v>121</v>
      </c>
      <c r="F31" s="1" t="s">
        <v>108</v>
      </c>
      <c r="G31" s="1" t="s">
        <v>109</v>
      </c>
      <c r="H31" s="1" t="s">
        <v>110</v>
      </c>
      <c r="I31" s="1">
        <v>33.700000000000003</v>
      </c>
      <c r="J31" s="4">
        <v>45149</v>
      </c>
      <c r="K31" s="1" t="s">
        <v>111</v>
      </c>
      <c r="L31" s="1" t="s">
        <v>112</v>
      </c>
      <c r="M31" s="1" t="s">
        <v>115</v>
      </c>
      <c r="P31" s="1" t="s">
        <v>115</v>
      </c>
      <c r="S31" s="1" t="s">
        <v>116</v>
      </c>
      <c r="T31" s="1" t="s">
        <v>117</v>
      </c>
      <c r="U31" s="5" t="s">
        <v>177</v>
      </c>
      <c r="V31" s="1">
        <v>17</v>
      </c>
      <c r="W31" s="1">
        <v>21</v>
      </c>
      <c r="X31" s="1">
        <v>1.2352941180000001</v>
      </c>
      <c r="Y31" s="1">
        <f t="shared" si="1"/>
        <v>2</v>
      </c>
      <c r="Z31" s="1">
        <v>0</v>
      </c>
      <c r="AA31" s="1">
        <f t="shared" si="3"/>
        <v>3</v>
      </c>
      <c r="AB31" s="1">
        <f t="shared" si="2"/>
        <v>1</v>
      </c>
      <c r="AC31" s="1">
        <v>0</v>
      </c>
      <c r="AD31" s="1">
        <v>1</v>
      </c>
      <c r="AE31" s="1" t="s">
        <v>119</v>
      </c>
      <c r="AF31" s="1" t="s">
        <v>119</v>
      </c>
      <c r="AG31" s="1" t="s">
        <v>119</v>
      </c>
      <c r="AH31" s="1">
        <v>0</v>
      </c>
    </row>
    <row r="32" spans="1:35" ht="16" customHeight="1" x14ac:dyDescent="0.15">
      <c r="A32" s="1" t="s">
        <v>33</v>
      </c>
      <c r="B32" s="1" t="s">
        <v>3</v>
      </c>
      <c r="C32" s="1">
        <v>27</v>
      </c>
      <c r="D32" s="1" t="s">
        <v>120</v>
      </c>
      <c r="E32" s="1" t="s">
        <v>107</v>
      </c>
      <c r="F32" s="1" t="s">
        <v>108</v>
      </c>
      <c r="G32" s="1" t="s">
        <v>109</v>
      </c>
      <c r="H32" s="1" t="s">
        <v>110</v>
      </c>
      <c r="I32" s="1">
        <v>21</v>
      </c>
      <c r="J32" s="4">
        <v>45216</v>
      </c>
      <c r="K32" s="1" t="s">
        <v>111</v>
      </c>
      <c r="L32" s="1" t="s">
        <v>112</v>
      </c>
      <c r="M32" s="1" t="s">
        <v>115</v>
      </c>
      <c r="P32" s="1" t="s">
        <v>115</v>
      </c>
      <c r="S32" s="1" t="s">
        <v>116</v>
      </c>
      <c r="T32" s="1" t="s">
        <v>117</v>
      </c>
      <c r="U32" s="5" t="s">
        <v>178</v>
      </c>
      <c r="V32" s="1">
        <v>13</v>
      </c>
      <c r="W32" s="1">
        <v>14</v>
      </c>
      <c r="X32" s="1">
        <v>1.076923077</v>
      </c>
      <c r="Y32" s="1">
        <f t="shared" si="1"/>
        <v>2</v>
      </c>
      <c r="Z32" s="1">
        <v>0</v>
      </c>
      <c r="AA32" s="1">
        <f t="shared" si="3"/>
        <v>2</v>
      </c>
      <c r="AB32" s="1">
        <f t="shared" si="2"/>
        <v>1</v>
      </c>
      <c r="AC32" s="1">
        <v>0</v>
      </c>
      <c r="AD32" s="1">
        <v>1</v>
      </c>
      <c r="AE32" s="1" t="s">
        <v>119</v>
      </c>
      <c r="AF32" s="1" t="s">
        <v>119</v>
      </c>
      <c r="AG32" s="1" t="s">
        <v>119</v>
      </c>
      <c r="AH32" s="1">
        <v>0</v>
      </c>
    </row>
    <row r="33" spans="1:35" ht="16" customHeight="1" x14ac:dyDescent="0.15">
      <c r="A33" s="1" t="s">
        <v>34</v>
      </c>
      <c r="B33" s="1" t="s">
        <v>3</v>
      </c>
      <c r="C33" s="1">
        <v>70</v>
      </c>
      <c r="D33" s="1" t="s">
        <v>106</v>
      </c>
      <c r="E33" s="1" t="s">
        <v>107</v>
      </c>
      <c r="F33" s="1" t="s">
        <v>108</v>
      </c>
      <c r="G33" s="1" t="s">
        <v>125</v>
      </c>
      <c r="H33" s="1" t="s">
        <v>126</v>
      </c>
      <c r="I33" s="1">
        <v>31.4</v>
      </c>
      <c r="J33" s="4">
        <v>45240</v>
      </c>
      <c r="K33" s="1" t="s">
        <v>111</v>
      </c>
      <c r="L33" s="1" t="s">
        <v>112</v>
      </c>
      <c r="M33" s="1" t="s">
        <v>115</v>
      </c>
      <c r="P33" s="1" t="s">
        <v>115</v>
      </c>
      <c r="S33" s="1" t="s">
        <v>132</v>
      </c>
      <c r="T33" s="1" t="s">
        <v>137</v>
      </c>
      <c r="U33" s="5" t="s">
        <v>179</v>
      </c>
      <c r="V33" s="1">
        <v>93</v>
      </c>
      <c r="W33" s="1">
        <v>59</v>
      </c>
      <c r="X33" s="1">
        <v>0.63440860200000004</v>
      </c>
      <c r="Y33" s="1">
        <f t="shared" si="1"/>
        <v>0</v>
      </c>
      <c r="Z33" s="1">
        <v>0</v>
      </c>
      <c r="AA33" s="1">
        <f t="shared" si="3"/>
        <v>1</v>
      </c>
      <c r="AB33" s="1">
        <f t="shared" si="2"/>
        <v>0</v>
      </c>
      <c r="AC33" s="1">
        <v>0</v>
      </c>
      <c r="AD33" s="1">
        <v>3</v>
      </c>
      <c r="AE33" s="1" t="s">
        <v>119</v>
      </c>
      <c r="AF33" s="1" t="s">
        <v>124</v>
      </c>
      <c r="AG33" s="1" t="s">
        <v>119</v>
      </c>
      <c r="AH33" s="1">
        <v>0</v>
      </c>
      <c r="AI33" s="1" t="s">
        <v>149</v>
      </c>
    </row>
    <row r="34" spans="1:35" ht="16" customHeight="1" x14ac:dyDescent="0.15">
      <c r="A34" s="1" t="s">
        <v>35</v>
      </c>
      <c r="B34" s="1" t="s">
        <v>3</v>
      </c>
      <c r="C34" s="1">
        <v>73</v>
      </c>
      <c r="D34" s="1" t="s">
        <v>106</v>
      </c>
      <c r="E34" s="1" t="s">
        <v>107</v>
      </c>
      <c r="F34" s="1" t="s">
        <v>108</v>
      </c>
      <c r="G34" s="1" t="s">
        <v>109</v>
      </c>
      <c r="H34" s="1" t="s">
        <v>110</v>
      </c>
      <c r="I34" s="1">
        <v>39.4</v>
      </c>
      <c r="J34" s="4">
        <v>45252</v>
      </c>
      <c r="K34" s="1" t="s">
        <v>111</v>
      </c>
      <c r="L34" s="1" t="s">
        <v>112</v>
      </c>
      <c r="M34" s="1" t="s">
        <v>113</v>
      </c>
      <c r="N34" s="1" t="s">
        <v>156</v>
      </c>
      <c r="O34" s="1">
        <v>1</v>
      </c>
      <c r="P34" s="1" t="s">
        <v>115</v>
      </c>
      <c r="S34" s="1" t="s">
        <v>116</v>
      </c>
      <c r="T34" s="1" t="s">
        <v>117</v>
      </c>
      <c r="U34" s="1" t="s">
        <v>180</v>
      </c>
      <c r="V34" s="1">
        <v>159</v>
      </c>
      <c r="W34" s="1">
        <v>122</v>
      </c>
      <c r="X34" s="1">
        <v>0.76729559700000005</v>
      </c>
      <c r="Y34" s="1">
        <f t="shared" si="1"/>
        <v>0</v>
      </c>
      <c r="Z34" s="1">
        <v>1</v>
      </c>
      <c r="AA34" s="1">
        <f t="shared" si="3"/>
        <v>2</v>
      </c>
      <c r="AB34" s="1">
        <f t="shared" si="2"/>
        <v>1</v>
      </c>
      <c r="AC34" s="1">
        <v>4</v>
      </c>
      <c r="AD34" s="1">
        <v>4</v>
      </c>
      <c r="AE34" s="1" t="s">
        <v>181</v>
      </c>
      <c r="AF34" s="1" t="s">
        <v>182</v>
      </c>
      <c r="AG34" s="1" t="s">
        <v>119</v>
      </c>
      <c r="AH34" s="1">
        <v>15</v>
      </c>
    </row>
    <row r="35" spans="1:35" ht="16" customHeight="1" x14ac:dyDescent="0.15">
      <c r="A35" s="1" t="s">
        <v>36</v>
      </c>
      <c r="B35" s="1" t="s">
        <v>3</v>
      </c>
      <c r="C35" s="1">
        <v>26</v>
      </c>
      <c r="D35" s="1" t="s">
        <v>120</v>
      </c>
      <c r="E35" s="1" t="s">
        <v>121</v>
      </c>
      <c r="F35" s="1" t="s">
        <v>108</v>
      </c>
      <c r="G35" s="1" t="s">
        <v>109</v>
      </c>
      <c r="H35" s="1" t="s">
        <v>110</v>
      </c>
      <c r="I35" s="1">
        <v>24.2</v>
      </c>
      <c r="J35" s="4">
        <v>45273</v>
      </c>
      <c r="K35" s="1" t="s">
        <v>111</v>
      </c>
      <c r="M35" s="1" t="s">
        <v>115</v>
      </c>
      <c r="P35" s="1" t="s">
        <v>115</v>
      </c>
      <c r="S35" s="1" t="s">
        <v>116</v>
      </c>
      <c r="T35" s="1" t="s">
        <v>117</v>
      </c>
      <c r="U35" s="1" t="s">
        <v>183</v>
      </c>
      <c r="V35" s="1">
        <v>14</v>
      </c>
      <c r="W35" s="1">
        <v>24</v>
      </c>
      <c r="X35" s="1">
        <v>1.7142857140000001</v>
      </c>
      <c r="Y35" s="1">
        <f t="shared" si="1"/>
        <v>2</v>
      </c>
      <c r="Z35" s="1">
        <v>0</v>
      </c>
      <c r="AA35" s="1">
        <f t="shared" si="3"/>
        <v>2</v>
      </c>
      <c r="AB35" s="1">
        <f t="shared" si="2"/>
        <v>1</v>
      </c>
      <c r="AC35" s="1">
        <v>2</v>
      </c>
      <c r="AD35" s="1">
        <v>1</v>
      </c>
      <c r="AE35" s="1" t="s">
        <v>184</v>
      </c>
      <c r="AF35" s="1" t="s">
        <v>119</v>
      </c>
      <c r="AG35" s="1" t="s">
        <v>119</v>
      </c>
      <c r="AH35" s="1">
        <v>0</v>
      </c>
      <c r="AI35" s="1" t="s">
        <v>149</v>
      </c>
    </row>
    <row r="36" spans="1:35" ht="16" customHeight="1" x14ac:dyDescent="0.15">
      <c r="A36" s="1" t="s">
        <v>37</v>
      </c>
      <c r="B36" s="1" t="s">
        <v>3</v>
      </c>
      <c r="C36" s="1">
        <v>52</v>
      </c>
      <c r="D36" s="1" t="s">
        <v>185</v>
      </c>
      <c r="E36" s="1" t="s">
        <v>107</v>
      </c>
      <c r="F36" s="1" t="s">
        <v>108</v>
      </c>
      <c r="G36" s="1" t="s">
        <v>109</v>
      </c>
      <c r="H36" s="1" t="s">
        <v>110</v>
      </c>
      <c r="I36" s="1">
        <v>25.1</v>
      </c>
      <c r="J36" s="4">
        <v>44327</v>
      </c>
      <c r="K36" s="1" t="s">
        <v>111</v>
      </c>
      <c r="M36" s="1" t="s">
        <v>115</v>
      </c>
      <c r="P36" s="1" t="s">
        <v>115</v>
      </c>
      <c r="S36" s="1" t="s">
        <v>132</v>
      </c>
      <c r="T36" s="1" t="s">
        <v>137</v>
      </c>
      <c r="U36" s="5" t="s">
        <v>186</v>
      </c>
      <c r="V36" s="1">
        <v>13</v>
      </c>
      <c r="W36" s="1">
        <v>16</v>
      </c>
      <c r="X36" s="1">
        <v>1.230769231</v>
      </c>
      <c r="Y36" s="1">
        <f t="shared" si="1"/>
        <v>2</v>
      </c>
      <c r="Z36" s="1">
        <v>0</v>
      </c>
      <c r="AA36" s="1">
        <f t="shared" si="3"/>
        <v>2</v>
      </c>
      <c r="AB36" s="1">
        <f t="shared" si="2"/>
        <v>1</v>
      </c>
      <c r="AC36" s="1">
        <v>0</v>
      </c>
      <c r="AD36" s="1">
        <v>0</v>
      </c>
      <c r="AE36" s="1" t="s">
        <v>119</v>
      </c>
      <c r="AF36" s="1" t="s">
        <v>119</v>
      </c>
      <c r="AG36" s="1" t="s">
        <v>119</v>
      </c>
      <c r="AH36" s="1">
        <v>0</v>
      </c>
    </row>
    <row r="37" spans="1:35" ht="16" customHeight="1" x14ac:dyDescent="0.15">
      <c r="A37" s="1" t="s">
        <v>38</v>
      </c>
      <c r="B37" s="1" t="s">
        <v>3</v>
      </c>
      <c r="C37" s="1">
        <v>45</v>
      </c>
      <c r="D37" s="1" t="s">
        <v>185</v>
      </c>
      <c r="E37" s="1" t="s">
        <v>107</v>
      </c>
      <c r="F37" s="1" t="s">
        <v>108</v>
      </c>
      <c r="G37" s="1" t="s">
        <v>125</v>
      </c>
      <c r="H37" s="1" t="s">
        <v>126</v>
      </c>
      <c r="I37" s="1">
        <v>31.4</v>
      </c>
      <c r="J37" s="4">
        <v>44558</v>
      </c>
      <c r="K37" s="1" t="s">
        <v>111</v>
      </c>
      <c r="L37" s="1" t="s">
        <v>112</v>
      </c>
      <c r="M37" s="1" t="s">
        <v>115</v>
      </c>
      <c r="P37" s="1" t="s">
        <v>115</v>
      </c>
      <c r="S37" s="1" t="s">
        <v>146</v>
      </c>
      <c r="T37" s="1" t="s">
        <v>187</v>
      </c>
      <c r="U37" s="5" t="s">
        <v>188</v>
      </c>
      <c r="V37" s="1">
        <v>31</v>
      </c>
      <c r="W37" s="1">
        <v>51</v>
      </c>
      <c r="X37" s="1">
        <v>1.6451612900000001</v>
      </c>
      <c r="Y37" s="1">
        <f t="shared" si="1"/>
        <v>2</v>
      </c>
      <c r="Z37" s="1">
        <v>0</v>
      </c>
      <c r="AA37" s="1">
        <f t="shared" si="3"/>
        <v>3</v>
      </c>
      <c r="AB37" s="1">
        <f t="shared" si="2"/>
        <v>1</v>
      </c>
      <c r="AC37" s="1">
        <v>4</v>
      </c>
      <c r="AD37" s="1">
        <v>4</v>
      </c>
      <c r="AE37" s="1" t="s">
        <v>181</v>
      </c>
      <c r="AF37" s="1" t="s">
        <v>124</v>
      </c>
      <c r="AG37" s="1" t="s">
        <v>124</v>
      </c>
      <c r="AH37" s="1">
        <v>40</v>
      </c>
    </row>
    <row r="38" spans="1:35" ht="16" customHeight="1" x14ac:dyDescent="0.15">
      <c r="A38" s="1" t="s">
        <v>39</v>
      </c>
      <c r="B38" s="1" t="s">
        <v>3</v>
      </c>
      <c r="C38" s="1">
        <v>42</v>
      </c>
      <c r="D38" s="1" t="s">
        <v>185</v>
      </c>
      <c r="E38" s="1" t="s">
        <v>107</v>
      </c>
      <c r="F38" s="1" t="s">
        <v>108</v>
      </c>
      <c r="G38" s="1" t="s">
        <v>125</v>
      </c>
      <c r="H38" s="1" t="s">
        <v>126</v>
      </c>
      <c r="I38" s="1">
        <v>26</v>
      </c>
      <c r="J38" s="4">
        <v>44964</v>
      </c>
      <c r="K38" s="1" t="s">
        <v>111</v>
      </c>
      <c r="L38" s="1" t="s">
        <v>112</v>
      </c>
      <c r="M38" s="1" t="s">
        <v>115</v>
      </c>
      <c r="P38" s="1" t="s">
        <v>115</v>
      </c>
      <c r="S38" s="1" t="s">
        <v>116</v>
      </c>
      <c r="T38" s="1" t="s">
        <v>117</v>
      </c>
      <c r="U38" s="5" t="s">
        <v>189</v>
      </c>
      <c r="V38" s="1">
        <v>12</v>
      </c>
      <c r="W38" s="1">
        <v>25</v>
      </c>
      <c r="X38" s="1">
        <v>2.0833333330000001</v>
      </c>
      <c r="Y38" s="1">
        <f t="shared" si="1"/>
        <v>2</v>
      </c>
      <c r="Z38" s="1">
        <v>1</v>
      </c>
      <c r="AA38" s="1">
        <f t="shared" si="3"/>
        <v>3</v>
      </c>
      <c r="AB38" s="1">
        <f t="shared" si="2"/>
        <v>1</v>
      </c>
      <c r="AC38" s="1">
        <v>3</v>
      </c>
      <c r="AD38" s="1">
        <v>0</v>
      </c>
      <c r="AE38" s="1" t="s">
        <v>119</v>
      </c>
      <c r="AF38" s="1" t="s">
        <v>124</v>
      </c>
      <c r="AG38" s="1" t="s">
        <v>119</v>
      </c>
      <c r="AH38" s="1">
        <v>15</v>
      </c>
    </row>
    <row r="39" spans="1:35" ht="16" customHeight="1" x14ac:dyDescent="0.15">
      <c r="A39" s="1" t="s">
        <v>40</v>
      </c>
      <c r="B39" s="1" t="s">
        <v>3</v>
      </c>
      <c r="C39" s="1">
        <v>79</v>
      </c>
      <c r="D39" s="1" t="s">
        <v>106</v>
      </c>
      <c r="E39" s="1" t="s">
        <v>107</v>
      </c>
      <c r="F39" s="1" t="s">
        <v>108</v>
      </c>
      <c r="G39" s="1" t="s">
        <v>109</v>
      </c>
      <c r="H39" s="1" t="s">
        <v>110</v>
      </c>
      <c r="I39" s="1">
        <v>30.5</v>
      </c>
      <c r="J39" s="4">
        <v>44656</v>
      </c>
      <c r="K39" s="1" t="s">
        <v>111</v>
      </c>
      <c r="L39" s="1" t="s">
        <v>143</v>
      </c>
      <c r="M39" s="1" t="s">
        <v>115</v>
      </c>
      <c r="P39" s="1" t="s">
        <v>115</v>
      </c>
      <c r="S39" s="1" t="s">
        <v>116</v>
      </c>
      <c r="T39" s="1" t="s">
        <v>117</v>
      </c>
      <c r="U39" s="5" t="s">
        <v>190</v>
      </c>
      <c r="V39" s="1">
        <v>15</v>
      </c>
      <c r="W39" s="1">
        <v>25</v>
      </c>
      <c r="X39" s="1">
        <f>W39/V39</f>
        <v>1.6666666666666667</v>
      </c>
      <c r="Y39" s="1">
        <f t="shared" si="1"/>
        <v>2</v>
      </c>
      <c r="Z39" s="1">
        <v>0</v>
      </c>
      <c r="AA39" s="1">
        <f t="shared" si="3"/>
        <v>3</v>
      </c>
      <c r="AB39" s="1">
        <f t="shared" si="2"/>
        <v>1</v>
      </c>
      <c r="AC39" s="1">
        <v>3</v>
      </c>
      <c r="AD39" s="1">
        <v>4</v>
      </c>
      <c r="AE39" s="1" t="s">
        <v>181</v>
      </c>
      <c r="AF39" s="1" t="s">
        <v>124</v>
      </c>
      <c r="AG39" s="1" t="s">
        <v>119</v>
      </c>
      <c r="AH39" s="1">
        <v>0</v>
      </c>
    </row>
    <row r="40" spans="1:35" ht="16" customHeight="1" x14ac:dyDescent="0.15">
      <c r="A40" s="1" t="s">
        <v>41</v>
      </c>
      <c r="B40" s="1" t="s">
        <v>3</v>
      </c>
      <c r="C40" s="1">
        <v>42</v>
      </c>
      <c r="D40" s="1" t="s">
        <v>185</v>
      </c>
      <c r="E40" s="1" t="s">
        <v>191</v>
      </c>
      <c r="F40" s="1" t="s">
        <v>192</v>
      </c>
      <c r="G40" s="1" t="s">
        <v>109</v>
      </c>
      <c r="H40" s="1" t="s">
        <v>110</v>
      </c>
      <c r="I40" s="1">
        <v>35.5</v>
      </c>
      <c r="J40" s="4">
        <v>44700</v>
      </c>
      <c r="K40" s="1" t="s">
        <v>135</v>
      </c>
      <c r="L40" s="1" t="s">
        <v>136</v>
      </c>
      <c r="M40" s="1" t="s">
        <v>115</v>
      </c>
      <c r="P40" s="1" t="s">
        <v>115</v>
      </c>
      <c r="S40" s="1" t="s">
        <v>132</v>
      </c>
      <c r="T40" s="1" t="s">
        <v>117</v>
      </c>
      <c r="U40" s="5" t="s">
        <v>193</v>
      </c>
      <c r="V40" s="1">
        <v>25</v>
      </c>
      <c r="W40" s="1">
        <v>24</v>
      </c>
      <c r="X40" s="1">
        <f t="shared" ref="X40:X44" si="4">W40/V40</f>
        <v>0.96</v>
      </c>
      <c r="Y40" s="1">
        <f t="shared" si="1"/>
        <v>2</v>
      </c>
      <c r="Z40" s="1">
        <v>0</v>
      </c>
      <c r="AA40" s="1">
        <f t="shared" si="3"/>
        <v>3</v>
      </c>
      <c r="AB40" s="1">
        <f t="shared" si="2"/>
        <v>1</v>
      </c>
      <c r="AC40" s="1">
        <v>1</v>
      </c>
      <c r="AD40" s="1">
        <v>0</v>
      </c>
      <c r="AE40" s="1" t="s">
        <v>119</v>
      </c>
      <c r="AF40" s="1" t="s">
        <v>124</v>
      </c>
      <c r="AG40" s="1" t="s">
        <v>119</v>
      </c>
      <c r="AH40" s="1">
        <v>35</v>
      </c>
    </row>
    <row r="41" spans="1:35" ht="16" customHeight="1" x14ac:dyDescent="0.15">
      <c r="A41" s="1" t="s">
        <v>42</v>
      </c>
      <c r="B41" s="1" t="s">
        <v>3</v>
      </c>
      <c r="C41" s="1">
        <v>43</v>
      </c>
      <c r="D41" s="1" t="s">
        <v>185</v>
      </c>
      <c r="E41" s="1" t="s">
        <v>107</v>
      </c>
      <c r="F41" s="1" t="s">
        <v>108</v>
      </c>
      <c r="G41" s="1" t="s">
        <v>109</v>
      </c>
      <c r="H41" s="1" t="s">
        <v>110</v>
      </c>
      <c r="I41" s="1">
        <v>31.5</v>
      </c>
      <c r="J41" s="4">
        <v>44777</v>
      </c>
      <c r="K41" s="1" t="s">
        <v>150</v>
      </c>
      <c r="M41" s="1" t="s">
        <v>115</v>
      </c>
      <c r="P41" s="1" t="s">
        <v>115</v>
      </c>
      <c r="R41" s="1" t="s">
        <v>113</v>
      </c>
      <c r="S41" s="1" t="s">
        <v>132</v>
      </c>
      <c r="T41" s="1" t="s">
        <v>117</v>
      </c>
      <c r="U41" s="5" t="s">
        <v>194</v>
      </c>
      <c r="V41" s="1">
        <v>31</v>
      </c>
      <c r="W41" s="1">
        <v>24</v>
      </c>
      <c r="X41" s="1">
        <f t="shared" si="4"/>
        <v>0.77419354838709675</v>
      </c>
      <c r="Y41" s="1">
        <f t="shared" si="1"/>
        <v>0</v>
      </c>
      <c r="Z41" s="1">
        <v>0</v>
      </c>
      <c r="AA41" s="1">
        <f t="shared" si="3"/>
        <v>1</v>
      </c>
      <c r="AB41" s="1">
        <f t="shared" si="2"/>
        <v>0</v>
      </c>
      <c r="AC41" s="1">
        <v>2</v>
      </c>
      <c r="AD41" s="1">
        <v>1</v>
      </c>
      <c r="AE41" s="1" t="s">
        <v>195</v>
      </c>
      <c r="AF41" s="1" t="s">
        <v>119</v>
      </c>
      <c r="AG41" s="1" t="s">
        <v>119</v>
      </c>
      <c r="AH41" s="1">
        <v>0</v>
      </c>
      <c r="AI41" s="1" t="s">
        <v>149</v>
      </c>
    </row>
    <row r="42" spans="1:35" ht="16" customHeight="1" x14ac:dyDescent="0.15">
      <c r="A42" s="1" t="s">
        <v>43</v>
      </c>
      <c r="B42" s="1" t="s">
        <v>3</v>
      </c>
      <c r="C42" s="1">
        <v>46</v>
      </c>
      <c r="D42" s="1" t="s">
        <v>185</v>
      </c>
      <c r="E42" s="1" t="s">
        <v>107</v>
      </c>
      <c r="F42" s="1" t="s">
        <v>108</v>
      </c>
      <c r="G42" s="1" t="s">
        <v>125</v>
      </c>
      <c r="H42" s="1" t="s">
        <v>126</v>
      </c>
      <c r="I42" s="1">
        <v>47.5</v>
      </c>
      <c r="J42" s="4">
        <v>45008</v>
      </c>
      <c r="K42" s="1" t="s">
        <v>135</v>
      </c>
      <c r="L42" s="1" t="s">
        <v>152</v>
      </c>
      <c r="M42" s="1" t="s">
        <v>115</v>
      </c>
      <c r="P42" s="1" t="s">
        <v>115</v>
      </c>
      <c r="S42" s="1" t="s">
        <v>132</v>
      </c>
      <c r="T42" s="1" t="s">
        <v>137</v>
      </c>
      <c r="U42" s="5" t="s">
        <v>196</v>
      </c>
      <c r="V42" s="1">
        <v>20</v>
      </c>
      <c r="W42" s="1">
        <v>18</v>
      </c>
      <c r="X42" s="1">
        <f t="shared" si="4"/>
        <v>0.9</v>
      </c>
      <c r="Y42" s="1">
        <f t="shared" si="1"/>
        <v>2</v>
      </c>
      <c r="Z42" s="1">
        <v>1</v>
      </c>
      <c r="AA42" s="1">
        <f t="shared" si="3"/>
        <v>4</v>
      </c>
      <c r="AB42" s="1">
        <f t="shared" si="2"/>
        <v>1</v>
      </c>
      <c r="AC42" s="1">
        <v>3</v>
      </c>
      <c r="AD42" s="1">
        <v>1</v>
      </c>
      <c r="AE42" s="1" t="s">
        <v>195</v>
      </c>
      <c r="AF42" s="1" t="s">
        <v>124</v>
      </c>
      <c r="AG42" s="1" t="s">
        <v>197</v>
      </c>
      <c r="AH42" s="1">
        <v>5</v>
      </c>
      <c r="AI42" s="1" t="s">
        <v>149</v>
      </c>
    </row>
    <row r="43" spans="1:35" ht="16" customHeight="1" x14ac:dyDescent="0.15">
      <c r="A43" s="1" t="s">
        <v>44</v>
      </c>
      <c r="B43" s="1" t="s">
        <v>3</v>
      </c>
      <c r="C43" s="1">
        <v>58</v>
      </c>
      <c r="D43" s="1" t="s">
        <v>185</v>
      </c>
      <c r="E43" s="1" t="s">
        <v>121</v>
      </c>
      <c r="F43" s="1" t="s">
        <v>108</v>
      </c>
      <c r="G43" s="1" t="s">
        <v>109</v>
      </c>
      <c r="H43" s="1" t="s">
        <v>110</v>
      </c>
      <c r="I43" s="1">
        <v>46.1</v>
      </c>
      <c r="J43" s="4">
        <v>45217</v>
      </c>
      <c r="K43" s="1" t="s">
        <v>111</v>
      </c>
      <c r="L43" s="1" t="s">
        <v>112</v>
      </c>
      <c r="M43" s="1" t="s">
        <v>115</v>
      </c>
      <c r="P43" s="1" t="s">
        <v>115</v>
      </c>
      <c r="S43" s="1" t="s">
        <v>116</v>
      </c>
      <c r="T43" s="1" t="s">
        <v>122</v>
      </c>
      <c r="U43" s="5" t="s">
        <v>198</v>
      </c>
      <c r="V43" s="1">
        <v>239</v>
      </c>
      <c r="W43" s="1">
        <v>112</v>
      </c>
      <c r="X43" s="1">
        <f t="shared" si="4"/>
        <v>0.46861924686192469</v>
      </c>
      <c r="Y43" s="1">
        <f t="shared" si="1"/>
        <v>0</v>
      </c>
      <c r="Z43" s="1">
        <v>0</v>
      </c>
      <c r="AA43" s="1">
        <f t="shared" si="3"/>
        <v>1</v>
      </c>
      <c r="AB43" s="1">
        <f t="shared" si="2"/>
        <v>0</v>
      </c>
      <c r="AC43" s="1">
        <v>2</v>
      </c>
      <c r="AD43" s="1">
        <v>2</v>
      </c>
      <c r="AE43" s="1" t="s">
        <v>199</v>
      </c>
      <c r="AF43" s="1" t="s">
        <v>124</v>
      </c>
      <c r="AG43" s="1" t="s">
        <v>119</v>
      </c>
      <c r="AH43" s="1">
        <v>0</v>
      </c>
      <c r="AI43" s="1" t="s">
        <v>149</v>
      </c>
    </row>
    <row r="44" spans="1:35" ht="16" customHeight="1" x14ac:dyDescent="0.15">
      <c r="A44" s="1" t="s">
        <v>45</v>
      </c>
      <c r="B44" s="1" t="s">
        <v>3</v>
      </c>
      <c r="C44" s="1">
        <v>58</v>
      </c>
      <c r="D44" s="1" t="s">
        <v>185</v>
      </c>
      <c r="E44" s="1" t="s">
        <v>121</v>
      </c>
      <c r="F44" s="1" t="s">
        <v>108</v>
      </c>
      <c r="G44" s="1" t="s">
        <v>125</v>
      </c>
      <c r="H44" s="1" t="s">
        <v>126</v>
      </c>
      <c r="I44" s="1">
        <v>34.700000000000003</v>
      </c>
      <c r="J44" s="4">
        <v>45251</v>
      </c>
      <c r="K44" s="1" t="s">
        <v>150</v>
      </c>
      <c r="M44" s="1" t="s">
        <v>115</v>
      </c>
      <c r="P44" s="1" t="s">
        <v>115</v>
      </c>
      <c r="S44" s="1" t="s">
        <v>116</v>
      </c>
      <c r="T44" s="1" t="s">
        <v>137</v>
      </c>
      <c r="U44" s="5" t="s">
        <v>200</v>
      </c>
      <c r="V44" s="1">
        <v>138</v>
      </c>
      <c r="W44" s="1">
        <v>40</v>
      </c>
      <c r="X44" s="1">
        <f t="shared" si="4"/>
        <v>0.28985507246376813</v>
      </c>
      <c r="Y44" s="1">
        <f t="shared" si="1"/>
        <v>0</v>
      </c>
      <c r="Z44" s="1">
        <v>0</v>
      </c>
      <c r="AA44" s="1">
        <f t="shared" si="3"/>
        <v>1</v>
      </c>
      <c r="AB44" s="1">
        <f t="shared" si="2"/>
        <v>0</v>
      </c>
      <c r="AC44" s="1">
        <v>2</v>
      </c>
      <c r="AD44" s="1">
        <v>1</v>
      </c>
      <c r="AE44" s="1" t="s">
        <v>195</v>
      </c>
      <c r="AF44" s="1" t="s">
        <v>119</v>
      </c>
      <c r="AG44" s="1" t="s">
        <v>119</v>
      </c>
      <c r="AH44" s="1">
        <v>10</v>
      </c>
      <c r="AI44" s="1" t="s">
        <v>149</v>
      </c>
    </row>
    <row r="45" spans="1:35" ht="16" customHeight="1" x14ac:dyDescent="0.15">
      <c r="A45" s="1" t="s">
        <v>46</v>
      </c>
      <c r="B45" s="1" t="s">
        <v>47</v>
      </c>
      <c r="C45" s="1">
        <v>47</v>
      </c>
      <c r="D45" s="1" t="s">
        <v>185</v>
      </c>
      <c r="E45" s="1" t="s">
        <v>107</v>
      </c>
      <c r="F45" s="1" t="s">
        <v>108</v>
      </c>
      <c r="G45" s="1" t="s">
        <v>109</v>
      </c>
      <c r="H45" s="1" t="s">
        <v>140</v>
      </c>
      <c r="I45" s="1" t="s">
        <v>140</v>
      </c>
      <c r="J45" s="1" t="s">
        <v>140</v>
      </c>
      <c r="K45" s="1" t="s">
        <v>150</v>
      </c>
      <c r="L45" s="1" t="s">
        <v>201</v>
      </c>
      <c r="M45" s="1" t="s">
        <v>113</v>
      </c>
      <c r="N45" s="6" t="s">
        <v>114</v>
      </c>
      <c r="O45" s="1" t="s">
        <v>202</v>
      </c>
      <c r="P45" s="1" t="s">
        <v>113</v>
      </c>
      <c r="Q45" s="6" t="s">
        <v>203</v>
      </c>
      <c r="S45" s="1" t="s">
        <v>146</v>
      </c>
      <c r="T45" s="1" t="s">
        <v>117</v>
      </c>
      <c r="U45" s="6" t="s">
        <v>204</v>
      </c>
      <c r="Z45" s="1">
        <v>0</v>
      </c>
      <c r="AC45" s="1" t="s">
        <v>140</v>
      </c>
      <c r="AD45" s="1" t="s">
        <v>140</v>
      </c>
    </row>
    <row r="46" spans="1:35" ht="16" customHeight="1" x14ac:dyDescent="0.15">
      <c r="A46" s="1" t="s">
        <v>48</v>
      </c>
      <c r="B46" s="1" t="s">
        <v>47</v>
      </c>
      <c r="C46" s="1">
        <v>39</v>
      </c>
      <c r="D46" s="1" t="s">
        <v>120</v>
      </c>
      <c r="E46" s="1" t="s">
        <v>107</v>
      </c>
      <c r="F46" s="1" t="s">
        <v>108</v>
      </c>
      <c r="G46" s="1" t="s">
        <v>109</v>
      </c>
      <c r="H46" s="1" t="s">
        <v>140</v>
      </c>
      <c r="I46" s="1" t="s">
        <v>140</v>
      </c>
      <c r="J46" s="1" t="s">
        <v>140</v>
      </c>
      <c r="K46" s="1" t="s">
        <v>150</v>
      </c>
      <c r="L46" s="1" t="s">
        <v>201</v>
      </c>
      <c r="M46" s="1" t="s">
        <v>113</v>
      </c>
      <c r="N46" s="6" t="s">
        <v>114</v>
      </c>
      <c r="O46" s="1" t="s">
        <v>202</v>
      </c>
      <c r="P46" s="1" t="s">
        <v>113</v>
      </c>
      <c r="Q46" s="1" t="s">
        <v>205</v>
      </c>
      <c r="S46" s="1" t="s">
        <v>116</v>
      </c>
      <c r="T46" s="1" t="s">
        <v>117</v>
      </c>
      <c r="AC46" s="1" t="s">
        <v>140</v>
      </c>
      <c r="AD46" s="1" t="s">
        <v>140</v>
      </c>
    </row>
    <row r="47" spans="1:35" ht="16" customHeight="1" x14ac:dyDescent="0.15">
      <c r="A47" s="1" t="s">
        <v>49</v>
      </c>
      <c r="B47" s="1" t="s">
        <v>47</v>
      </c>
      <c r="C47" s="1">
        <v>62</v>
      </c>
      <c r="D47" s="1" t="s">
        <v>106</v>
      </c>
      <c r="E47" s="1" t="s">
        <v>121</v>
      </c>
      <c r="F47" s="1" t="s">
        <v>108</v>
      </c>
      <c r="G47" s="1" t="s">
        <v>125</v>
      </c>
      <c r="H47" s="1" t="s">
        <v>140</v>
      </c>
      <c r="I47" s="1" t="s">
        <v>140</v>
      </c>
      <c r="J47" s="1" t="s">
        <v>140</v>
      </c>
      <c r="K47" s="1" t="s">
        <v>150</v>
      </c>
      <c r="L47" s="1" t="s">
        <v>201</v>
      </c>
      <c r="M47" s="1" t="s">
        <v>113</v>
      </c>
      <c r="N47" s="6" t="s">
        <v>206</v>
      </c>
      <c r="O47" s="1" t="s">
        <v>202</v>
      </c>
      <c r="P47" s="1" t="s">
        <v>113</v>
      </c>
      <c r="Q47" s="6" t="s">
        <v>207</v>
      </c>
      <c r="S47" s="1" t="s">
        <v>146</v>
      </c>
      <c r="T47" s="1" t="s">
        <v>122</v>
      </c>
      <c r="U47" s="6" t="s">
        <v>208</v>
      </c>
      <c r="Z47" s="1">
        <v>0</v>
      </c>
      <c r="AC47" s="1" t="s">
        <v>140</v>
      </c>
      <c r="AD47" s="1" t="s">
        <v>140</v>
      </c>
    </row>
    <row r="48" spans="1:35" ht="16" customHeight="1" x14ac:dyDescent="0.15">
      <c r="A48" s="1" t="s">
        <v>50</v>
      </c>
      <c r="B48" s="1" t="s">
        <v>47</v>
      </c>
      <c r="C48" s="1">
        <v>45</v>
      </c>
      <c r="D48" s="1" t="s">
        <v>185</v>
      </c>
      <c r="E48" s="1" t="s">
        <v>107</v>
      </c>
      <c r="F48" s="1" t="s">
        <v>108</v>
      </c>
      <c r="G48" s="1" t="s">
        <v>109</v>
      </c>
      <c r="H48" s="1" t="s">
        <v>140</v>
      </c>
      <c r="I48" s="1" t="s">
        <v>140</v>
      </c>
      <c r="J48" s="1" t="s">
        <v>140</v>
      </c>
      <c r="K48" s="1" t="s">
        <v>150</v>
      </c>
      <c r="L48" s="1" t="s">
        <v>201</v>
      </c>
      <c r="M48" s="1" t="s">
        <v>113</v>
      </c>
      <c r="N48" s="6" t="s">
        <v>114</v>
      </c>
      <c r="O48" s="1" t="s">
        <v>202</v>
      </c>
      <c r="P48" s="1" t="s">
        <v>113</v>
      </c>
      <c r="Q48" s="6" t="s">
        <v>209</v>
      </c>
      <c r="S48" s="1" t="s">
        <v>116</v>
      </c>
      <c r="T48" s="1" t="s">
        <v>191</v>
      </c>
      <c r="U48" s="6" t="s">
        <v>210</v>
      </c>
      <c r="Z48" s="1">
        <v>0</v>
      </c>
      <c r="AC48" s="1" t="s">
        <v>140</v>
      </c>
      <c r="AD48" s="1" t="s">
        <v>140</v>
      </c>
    </row>
    <row r="49" spans="1:34" ht="16" customHeight="1" x14ac:dyDescent="0.15">
      <c r="A49" s="1" t="s">
        <v>51</v>
      </c>
      <c r="B49" s="1" t="s">
        <v>47</v>
      </c>
      <c r="C49" s="1">
        <v>60</v>
      </c>
      <c r="D49" s="1" t="s">
        <v>106</v>
      </c>
      <c r="E49" s="1" t="s">
        <v>121</v>
      </c>
      <c r="F49" s="1" t="s">
        <v>108</v>
      </c>
      <c r="G49" s="1" t="s">
        <v>125</v>
      </c>
      <c r="H49" s="1" t="s">
        <v>140</v>
      </c>
      <c r="I49" s="1" t="s">
        <v>140</v>
      </c>
      <c r="J49" s="1" t="s">
        <v>140</v>
      </c>
      <c r="K49" s="1" t="s">
        <v>150</v>
      </c>
      <c r="L49" s="1" t="s">
        <v>201</v>
      </c>
      <c r="M49" s="1" t="s">
        <v>113</v>
      </c>
      <c r="N49" s="6" t="s">
        <v>114</v>
      </c>
      <c r="O49" s="1" t="s">
        <v>202</v>
      </c>
      <c r="P49" s="1" t="s">
        <v>113</v>
      </c>
      <c r="Q49" s="6" t="s">
        <v>211</v>
      </c>
      <c r="S49" s="1" t="s">
        <v>116</v>
      </c>
      <c r="T49" s="1" t="s">
        <v>117</v>
      </c>
      <c r="AC49" s="1" t="s">
        <v>140</v>
      </c>
      <c r="AD49" s="1" t="s">
        <v>140</v>
      </c>
    </row>
    <row r="50" spans="1:34" ht="16" customHeight="1" x14ac:dyDescent="0.15">
      <c r="A50" s="1" t="s">
        <v>52</v>
      </c>
      <c r="B50" s="1" t="s">
        <v>47</v>
      </c>
      <c r="C50" s="1">
        <v>37</v>
      </c>
      <c r="D50" s="1" t="s">
        <v>120</v>
      </c>
      <c r="E50" s="1" t="s">
        <v>107</v>
      </c>
      <c r="F50" s="1" t="s">
        <v>108</v>
      </c>
      <c r="G50" s="1" t="s">
        <v>109</v>
      </c>
      <c r="H50" s="1" t="s">
        <v>140</v>
      </c>
      <c r="I50" s="1" t="s">
        <v>140</v>
      </c>
      <c r="J50" s="1" t="s">
        <v>140</v>
      </c>
      <c r="K50" s="1" t="s">
        <v>150</v>
      </c>
      <c r="L50" s="1" t="s">
        <v>201</v>
      </c>
      <c r="M50" s="1" t="s">
        <v>113</v>
      </c>
      <c r="N50" s="6" t="s">
        <v>114</v>
      </c>
      <c r="O50" s="1" t="s">
        <v>202</v>
      </c>
      <c r="P50" s="1" t="s">
        <v>113</v>
      </c>
      <c r="Q50" s="6" t="s">
        <v>212</v>
      </c>
      <c r="S50" s="1" t="s">
        <v>132</v>
      </c>
      <c r="T50" s="1" t="s">
        <v>122</v>
      </c>
      <c r="U50" s="6" t="s">
        <v>213</v>
      </c>
      <c r="Z50" s="1">
        <v>0</v>
      </c>
      <c r="AC50" s="1" t="s">
        <v>140</v>
      </c>
      <c r="AD50" s="1" t="s">
        <v>140</v>
      </c>
    </row>
    <row r="51" spans="1:34" ht="16" customHeight="1" x14ac:dyDescent="0.15">
      <c r="A51" s="1" t="s">
        <v>53</v>
      </c>
      <c r="B51" s="1" t="s">
        <v>47</v>
      </c>
      <c r="C51" s="1">
        <v>54</v>
      </c>
      <c r="D51" s="1" t="s">
        <v>185</v>
      </c>
      <c r="E51" s="1" t="s">
        <v>107</v>
      </c>
      <c r="F51" s="1" t="s">
        <v>108</v>
      </c>
      <c r="G51" s="1" t="s">
        <v>109</v>
      </c>
      <c r="H51" s="1" t="s">
        <v>140</v>
      </c>
      <c r="I51" s="1" t="s">
        <v>140</v>
      </c>
      <c r="J51" s="1" t="s">
        <v>140</v>
      </c>
      <c r="K51" s="1" t="s">
        <v>150</v>
      </c>
      <c r="L51" s="1" t="s">
        <v>201</v>
      </c>
      <c r="M51" s="1" t="s">
        <v>113</v>
      </c>
      <c r="N51" s="6" t="s">
        <v>114</v>
      </c>
      <c r="O51" s="1" t="s">
        <v>202</v>
      </c>
      <c r="P51" s="1" t="s">
        <v>113</v>
      </c>
      <c r="Q51" s="6" t="s">
        <v>214</v>
      </c>
      <c r="S51" s="1" t="s">
        <v>116</v>
      </c>
      <c r="T51" s="1" t="s">
        <v>117</v>
      </c>
      <c r="U51" s="6" t="s">
        <v>215</v>
      </c>
      <c r="Z51" s="1">
        <v>0</v>
      </c>
      <c r="AC51" s="1" t="s">
        <v>140</v>
      </c>
      <c r="AD51" s="1" t="s">
        <v>140</v>
      </c>
    </row>
    <row r="52" spans="1:34" ht="16" customHeight="1" x14ac:dyDescent="0.15">
      <c r="A52" s="1" t="s">
        <v>54</v>
      </c>
      <c r="B52" s="1" t="s">
        <v>47</v>
      </c>
      <c r="C52" s="1">
        <v>60</v>
      </c>
      <c r="D52" s="1" t="s">
        <v>106</v>
      </c>
      <c r="E52" s="1" t="s">
        <v>107</v>
      </c>
      <c r="F52" s="1" t="s">
        <v>108</v>
      </c>
      <c r="G52" s="1" t="s">
        <v>109</v>
      </c>
      <c r="H52" s="1" t="s">
        <v>140</v>
      </c>
      <c r="I52" s="1" t="s">
        <v>140</v>
      </c>
      <c r="J52" s="1" t="s">
        <v>140</v>
      </c>
      <c r="K52" s="1" t="s">
        <v>150</v>
      </c>
      <c r="L52" s="1" t="s">
        <v>201</v>
      </c>
      <c r="M52" s="1" t="s">
        <v>113</v>
      </c>
      <c r="N52" s="6"/>
      <c r="P52" s="1" t="s">
        <v>115</v>
      </c>
      <c r="S52" s="1" t="s">
        <v>116</v>
      </c>
      <c r="T52" s="1" t="s">
        <v>117</v>
      </c>
      <c r="U52" s="6" t="s">
        <v>216</v>
      </c>
      <c r="Z52" s="1">
        <v>0</v>
      </c>
      <c r="AC52" s="1">
        <v>0</v>
      </c>
      <c r="AD52" s="1">
        <v>0</v>
      </c>
    </row>
    <row r="53" spans="1:34" ht="16" customHeight="1" x14ac:dyDescent="0.15">
      <c r="A53" s="1" t="s">
        <v>55</v>
      </c>
      <c r="B53" s="1" t="s">
        <v>47</v>
      </c>
      <c r="C53" s="1">
        <v>47</v>
      </c>
      <c r="D53" s="1" t="s">
        <v>185</v>
      </c>
      <c r="E53" s="1" t="s">
        <v>107</v>
      </c>
      <c r="F53" s="1" t="s">
        <v>108</v>
      </c>
      <c r="G53" s="1" t="s">
        <v>125</v>
      </c>
      <c r="H53" s="1" t="s">
        <v>140</v>
      </c>
      <c r="I53" s="1" t="s">
        <v>140</v>
      </c>
      <c r="J53" s="1" t="s">
        <v>140</v>
      </c>
      <c r="K53" s="1" t="s">
        <v>150</v>
      </c>
      <c r="L53" s="1" t="s">
        <v>201</v>
      </c>
      <c r="M53" s="1" t="s">
        <v>113</v>
      </c>
      <c r="N53" s="6" t="s">
        <v>114</v>
      </c>
      <c r="O53" s="1" t="s">
        <v>202</v>
      </c>
      <c r="P53" s="1" t="s">
        <v>113</v>
      </c>
      <c r="Q53" s="6" t="s">
        <v>217</v>
      </c>
      <c r="S53" s="1" t="s">
        <v>116</v>
      </c>
      <c r="T53" s="1" t="s">
        <v>137</v>
      </c>
      <c r="U53" s="6" t="s">
        <v>218</v>
      </c>
      <c r="Z53" s="1">
        <v>0</v>
      </c>
      <c r="AC53" s="1" t="s">
        <v>140</v>
      </c>
      <c r="AD53" s="1" t="s">
        <v>140</v>
      </c>
    </row>
    <row r="54" spans="1:34" ht="16" customHeight="1" x14ac:dyDescent="0.15">
      <c r="A54" s="1" t="s">
        <v>56</v>
      </c>
      <c r="B54" s="1" t="s">
        <v>47</v>
      </c>
      <c r="C54" s="1">
        <v>66</v>
      </c>
      <c r="D54" s="1" t="s">
        <v>106</v>
      </c>
      <c r="E54" s="1" t="s">
        <v>121</v>
      </c>
      <c r="F54" s="1" t="s">
        <v>108</v>
      </c>
      <c r="G54" s="1" t="s">
        <v>109</v>
      </c>
      <c r="H54" s="1" t="s">
        <v>140</v>
      </c>
      <c r="I54" s="1" t="s">
        <v>140</v>
      </c>
      <c r="J54" s="1" t="s">
        <v>140</v>
      </c>
      <c r="K54" s="1" t="s">
        <v>150</v>
      </c>
      <c r="L54" s="1" t="s">
        <v>201</v>
      </c>
      <c r="M54" s="1" t="s">
        <v>113</v>
      </c>
      <c r="N54" s="6" t="s">
        <v>114</v>
      </c>
      <c r="O54" s="1" t="s">
        <v>202</v>
      </c>
      <c r="P54" s="1" t="s">
        <v>113</v>
      </c>
      <c r="Q54" s="6" t="s">
        <v>219</v>
      </c>
      <c r="S54" s="1" t="s">
        <v>132</v>
      </c>
      <c r="T54" s="1" t="s">
        <v>113</v>
      </c>
      <c r="U54" s="1" t="s">
        <v>112</v>
      </c>
      <c r="Z54" s="1">
        <v>0</v>
      </c>
      <c r="AC54" s="1" t="s">
        <v>140</v>
      </c>
      <c r="AD54" s="1" t="s">
        <v>140</v>
      </c>
    </row>
    <row r="55" spans="1:34" ht="16" customHeight="1" x14ac:dyDescent="0.15">
      <c r="A55" s="1" t="s">
        <v>57</v>
      </c>
      <c r="B55" s="1" t="s">
        <v>47</v>
      </c>
      <c r="C55" s="1">
        <v>47</v>
      </c>
      <c r="D55" s="1" t="s">
        <v>185</v>
      </c>
      <c r="E55" s="1" t="s">
        <v>107</v>
      </c>
      <c r="F55" s="1" t="s">
        <v>108</v>
      </c>
      <c r="G55" s="1" t="s">
        <v>109</v>
      </c>
      <c r="H55" s="1" t="s">
        <v>140</v>
      </c>
      <c r="I55" s="1" t="s">
        <v>140</v>
      </c>
      <c r="J55" s="1" t="s">
        <v>140</v>
      </c>
      <c r="K55" s="1" t="s">
        <v>150</v>
      </c>
      <c r="L55" s="1" t="s">
        <v>201</v>
      </c>
      <c r="M55" s="1" t="s">
        <v>113</v>
      </c>
      <c r="N55" s="6" t="s">
        <v>114</v>
      </c>
      <c r="O55" s="1" t="s">
        <v>202</v>
      </c>
      <c r="P55" s="1" t="s">
        <v>113</v>
      </c>
      <c r="Q55" s="6" t="s">
        <v>220</v>
      </c>
      <c r="S55" s="1" t="s">
        <v>116</v>
      </c>
      <c r="T55" s="1" t="s">
        <v>122</v>
      </c>
      <c r="U55" s="6" t="s">
        <v>221</v>
      </c>
      <c r="Z55" s="1">
        <v>0</v>
      </c>
      <c r="AC55" s="1">
        <v>0</v>
      </c>
      <c r="AD55" s="1">
        <v>0</v>
      </c>
    </row>
    <row r="56" spans="1:34" ht="16" customHeight="1" x14ac:dyDescent="0.15">
      <c r="A56" s="1" t="s">
        <v>58</v>
      </c>
      <c r="B56" s="1" t="s">
        <v>47</v>
      </c>
      <c r="C56" s="1">
        <v>84</v>
      </c>
      <c r="D56" s="1" t="s">
        <v>106</v>
      </c>
      <c r="E56" s="1" t="s">
        <v>107</v>
      </c>
      <c r="F56" s="1" t="s">
        <v>108</v>
      </c>
      <c r="G56" s="1" t="s">
        <v>109</v>
      </c>
      <c r="H56" s="1" t="s">
        <v>140</v>
      </c>
      <c r="I56" s="1" t="s">
        <v>140</v>
      </c>
      <c r="J56" s="1" t="s">
        <v>140</v>
      </c>
      <c r="K56" s="1" t="s">
        <v>150</v>
      </c>
      <c r="L56" s="1" t="s">
        <v>201</v>
      </c>
      <c r="M56" s="1" t="s">
        <v>113</v>
      </c>
      <c r="N56" s="6"/>
      <c r="P56" s="1" t="s">
        <v>115</v>
      </c>
      <c r="S56" s="1" t="s">
        <v>132</v>
      </c>
      <c r="T56" s="1" t="s">
        <v>117</v>
      </c>
      <c r="U56" s="6" t="s">
        <v>222</v>
      </c>
      <c r="Z56" s="1">
        <v>1</v>
      </c>
      <c r="AC56" s="1">
        <v>0</v>
      </c>
      <c r="AD56" s="1">
        <v>0</v>
      </c>
    </row>
    <row r="57" spans="1:34" ht="16" customHeight="1" x14ac:dyDescent="0.15">
      <c r="A57" s="1" t="s">
        <v>59</v>
      </c>
      <c r="B57" s="1" t="s">
        <v>47</v>
      </c>
      <c r="C57" s="1">
        <v>69</v>
      </c>
      <c r="D57" s="1" t="s">
        <v>106</v>
      </c>
      <c r="E57" s="1" t="s">
        <v>107</v>
      </c>
      <c r="F57" s="1" t="s">
        <v>108</v>
      </c>
      <c r="G57" s="1" t="s">
        <v>109</v>
      </c>
      <c r="H57" s="1" t="s">
        <v>140</v>
      </c>
      <c r="I57" s="1" t="s">
        <v>140</v>
      </c>
      <c r="J57" s="1" t="s">
        <v>140</v>
      </c>
      <c r="K57" s="1" t="s">
        <v>150</v>
      </c>
      <c r="L57" s="1" t="s">
        <v>201</v>
      </c>
      <c r="M57" s="1" t="s">
        <v>113</v>
      </c>
      <c r="N57" s="6" t="s">
        <v>114</v>
      </c>
      <c r="O57" s="1" t="s">
        <v>202</v>
      </c>
      <c r="P57" s="1" t="s">
        <v>113</v>
      </c>
      <c r="Q57" s="6" t="s">
        <v>240</v>
      </c>
      <c r="S57" s="1" t="s">
        <v>132</v>
      </c>
      <c r="T57" s="1" t="s">
        <v>113</v>
      </c>
      <c r="U57" s="6" t="s">
        <v>223</v>
      </c>
      <c r="Z57" s="1">
        <v>1</v>
      </c>
      <c r="AC57" s="1">
        <v>1</v>
      </c>
      <c r="AD57" s="1" t="s">
        <v>140</v>
      </c>
    </row>
    <row r="58" spans="1:34" ht="16" customHeight="1" x14ac:dyDescent="0.15">
      <c r="A58" s="1" t="s">
        <v>60</v>
      </c>
      <c r="B58" s="1" t="s">
        <v>47</v>
      </c>
      <c r="C58" s="1">
        <v>60</v>
      </c>
      <c r="D58" s="1" t="s">
        <v>106</v>
      </c>
      <c r="E58" s="1" t="s">
        <v>107</v>
      </c>
      <c r="F58" s="1" t="s">
        <v>108</v>
      </c>
      <c r="G58" s="1" t="s">
        <v>109</v>
      </c>
      <c r="H58" s="1" t="s">
        <v>140</v>
      </c>
      <c r="I58" s="1" t="s">
        <v>140</v>
      </c>
      <c r="J58" s="1" t="s">
        <v>140</v>
      </c>
      <c r="K58" s="1" t="s">
        <v>150</v>
      </c>
      <c r="L58" s="1" t="s">
        <v>201</v>
      </c>
      <c r="M58" s="1" t="s">
        <v>113</v>
      </c>
      <c r="N58" s="6" t="s">
        <v>114</v>
      </c>
      <c r="O58" s="1" t="s">
        <v>202</v>
      </c>
      <c r="P58" s="1" t="s">
        <v>113</v>
      </c>
      <c r="Q58" s="6" t="s">
        <v>224</v>
      </c>
      <c r="S58" s="1" t="s">
        <v>132</v>
      </c>
      <c r="T58" s="1" t="s">
        <v>122</v>
      </c>
      <c r="U58" s="6" t="s">
        <v>225</v>
      </c>
      <c r="Z58" s="1">
        <v>0</v>
      </c>
      <c r="AC58" s="1">
        <v>1</v>
      </c>
      <c r="AD58" s="1">
        <v>0</v>
      </c>
    </row>
    <row r="59" spans="1:34" ht="16" customHeight="1" x14ac:dyDescent="0.15">
      <c r="A59" s="1" t="s">
        <v>61</v>
      </c>
      <c r="B59" s="1" t="s">
        <v>47</v>
      </c>
      <c r="C59" s="1">
        <v>49</v>
      </c>
      <c r="D59" s="1" t="s">
        <v>185</v>
      </c>
      <c r="E59" s="1" t="s">
        <v>107</v>
      </c>
      <c r="F59" s="1" t="s">
        <v>108</v>
      </c>
      <c r="G59" s="1" t="s">
        <v>109</v>
      </c>
      <c r="H59" s="1" t="s">
        <v>140</v>
      </c>
      <c r="I59" s="1" t="s">
        <v>140</v>
      </c>
      <c r="J59" s="1" t="s">
        <v>140</v>
      </c>
      <c r="K59" s="1" t="s">
        <v>150</v>
      </c>
      <c r="L59" s="1" t="s">
        <v>201</v>
      </c>
      <c r="M59" s="1" t="s">
        <v>113</v>
      </c>
      <c r="N59" s="6" t="s">
        <v>114</v>
      </c>
      <c r="O59" s="1" t="s">
        <v>202</v>
      </c>
      <c r="P59" s="1" t="s">
        <v>113</v>
      </c>
      <c r="Q59" s="6" t="s">
        <v>226</v>
      </c>
      <c r="S59" s="1" t="s">
        <v>132</v>
      </c>
      <c r="T59" s="1" t="s">
        <v>117</v>
      </c>
      <c r="U59" s="6" t="s">
        <v>227</v>
      </c>
      <c r="Z59" s="1">
        <v>0</v>
      </c>
      <c r="AC59" s="1">
        <v>2</v>
      </c>
      <c r="AD59" s="1">
        <v>3</v>
      </c>
    </row>
    <row r="60" spans="1:34" ht="16" customHeight="1" x14ac:dyDescent="0.15">
      <c r="A60" s="1" t="s">
        <v>62</v>
      </c>
      <c r="B60" s="1" t="s">
        <v>47</v>
      </c>
      <c r="C60" s="1">
        <v>47</v>
      </c>
      <c r="D60" s="1" t="s">
        <v>185</v>
      </c>
      <c r="E60" s="1" t="s">
        <v>107</v>
      </c>
      <c r="F60" s="1" t="s">
        <v>108</v>
      </c>
      <c r="G60" s="1" t="s">
        <v>109</v>
      </c>
      <c r="H60" s="1" t="s">
        <v>140</v>
      </c>
      <c r="I60" s="1" t="s">
        <v>140</v>
      </c>
      <c r="J60" s="1" t="s">
        <v>140</v>
      </c>
      <c r="K60" s="1" t="s">
        <v>150</v>
      </c>
      <c r="L60" s="1" t="s">
        <v>201</v>
      </c>
      <c r="M60" s="1" t="s">
        <v>113</v>
      </c>
      <c r="N60" s="6"/>
      <c r="P60" s="1" t="s">
        <v>115</v>
      </c>
      <c r="Q60" s="1" t="s">
        <v>115</v>
      </c>
      <c r="S60" s="1" t="s">
        <v>116</v>
      </c>
      <c r="T60" s="1" t="s">
        <v>191</v>
      </c>
      <c r="U60" s="6" t="s">
        <v>228</v>
      </c>
      <c r="Z60" s="1">
        <v>0</v>
      </c>
      <c r="AC60" s="1">
        <v>0</v>
      </c>
      <c r="AD60" s="1">
        <v>0</v>
      </c>
    </row>
    <row r="61" spans="1:34" ht="16" customHeight="1" x14ac:dyDescent="0.15">
      <c r="A61" s="1" t="s">
        <v>63</v>
      </c>
      <c r="B61" s="1" t="s">
        <v>47</v>
      </c>
      <c r="C61" s="1">
        <v>55</v>
      </c>
      <c r="D61" s="1" t="s">
        <v>185</v>
      </c>
      <c r="E61" s="1" t="s">
        <v>107</v>
      </c>
      <c r="F61" s="1" t="s">
        <v>108</v>
      </c>
      <c r="G61" s="1" t="s">
        <v>125</v>
      </c>
      <c r="H61" s="1" t="s">
        <v>140</v>
      </c>
      <c r="I61" s="1" t="s">
        <v>140</v>
      </c>
      <c r="J61" s="1" t="s">
        <v>140</v>
      </c>
      <c r="K61" s="1" t="s">
        <v>150</v>
      </c>
      <c r="L61" s="1" t="s">
        <v>201</v>
      </c>
      <c r="M61" s="1" t="s">
        <v>113</v>
      </c>
      <c r="N61" s="6" t="s">
        <v>114</v>
      </c>
      <c r="O61" s="1" t="s">
        <v>202</v>
      </c>
      <c r="P61" s="1" t="s">
        <v>113</v>
      </c>
      <c r="Q61" s="5" t="s">
        <v>229</v>
      </c>
      <c r="S61" s="1" t="s">
        <v>146</v>
      </c>
      <c r="T61" s="1" t="s">
        <v>191</v>
      </c>
      <c r="AC61" s="1">
        <v>0</v>
      </c>
      <c r="AD61" s="1">
        <v>1</v>
      </c>
    </row>
    <row r="62" spans="1:34" ht="16" customHeight="1" x14ac:dyDescent="0.15">
      <c r="A62" s="1" t="s">
        <v>64</v>
      </c>
      <c r="B62" s="1" t="s">
        <v>47</v>
      </c>
      <c r="C62" s="1">
        <v>37</v>
      </c>
      <c r="D62" s="1" t="s">
        <v>120</v>
      </c>
      <c r="E62" s="1" t="s">
        <v>107</v>
      </c>
      <c r="F62" s="1" t="s">
        <v>108</v>
      </c>
      <c r="G62" s="1" t="s">
        <v>125</v>
      </c>
      <c r="H62" s="1" t="s">
        <v>140</v>
      </c>
      <c r="I62" s="1" t="s">
        <v>140</v>
      </c>
      <c r="J62" s="1" t="s">
        <v>140</v>
      </c>
      <c r="K62" s="1" t="s">
        <v>150</v>
      </c>
      <c r="L62" s="1" t="s">
        <v>201</v>
      </c>
      <c r="M62" s="1" t="s">
        <v>113</v>
      </c>
      <c r="N62" s="6" t="s">
        <v>114</v>
      </c>
      <c r="O62" s="1" t="s">
        <v>202</v>
      </c>
      <c r="P62" s="1" t="s">
        <v>113</v>
      </c>
      <c r="Q62" s="6" t="s">
        <v>230</v>
      </c>
      <c r="S62" s="1" t="s">
        <v>132</v>
      </c>
      <c r="T62" s="1" t="s">
        <v>137</v>
      </c>
      <c r="U62" s="6" t="s">
        <v>231</v>
      </c>
      <c r="Z62" s="1">
        <v>0</v>
      </c>
      <c r="AC62" s="1">
        <v>1</v>
      </c>
      <c r="AD62" s="1" t="s">
        <v>140</v>
      </c>
    </row>
    <row r="63" spans="1:34" ht="16" customHeight="1" x14ac:dyDescent="0.15">
      <c r="A63" s="1" t="s">
        <v>65</v>
      </c>
      <c r="B63" s="1" t="s">
        <v>47</v>
      </c>
      <c r="C63" s="1">
        <v>77</v>
      </c>
      <c r="D63" s="1" t="s">
        <v>106</v>
      </c>
      <c r="E63" s="1" t="s">
        <v>191</v>
      </c>
      <c r="F63" s="1" t="s">
        <v>191</v>
      </c>
      <c r="G63" s="1" t="s">
        <v>109</v>
      </c>
      <c r="H63" s="1" t="s">
        <v>140</v>
      </c>
      <c r="I63" s="1" t="s">
        <v>140</v>
      </c>
      <c r="J63" s="1" t="s">
        <v>140</v>
      </c>
      <c r="K63" s="1" t="s">
        <v>150</v>
      </c>
      <c r="L63" s="1" t="s">
        <v>201</v>
      </c>
      <c r="M63" s="1" t="s">
        <v>113</v>
      </c>
      <c r="N63" s="6"/>
      <c r="P63" s="1" t="s">
        <v>115</v>
      </c>
      <c r="S63" s="1" t="s">
        <v>132</v>
      </c>
      <c r="T63" s="1" t="s">
        <v>122</v>
      </c>
      <c r="U63" s="1" t="s">
        <v>232</v>
      </c>
      <c r="Z63" s="1">
        <v>0</v>
      </c>
      <c r="AC63" s="1">
        <v>0</v>
      </c>
      <c r="AD63" s="1">
        <v>0</v>
      </c>
      <c r="AF63" s="1" t="s">
        <v>119</v>
      </c>
      <c r="AG63" s="1" t="s">
        <v>233</v>
      </c>
      <c r="AH63" s="1">
        <v>0</v>
      </c>
    </row>
    <row r="64" spans="1:34" ht="16" customHeight="1" x14ac:dyDescent="0.15">
      <c r="A64" s="1" t="s">
        <v>66</v>
      </c>
      <c r="B64" s="1" t="s">
        <v>47</v>
      </c>
      <c r="C64" s="1">
        <v>52</v>
      </c>
      <c r="D64" s="1" t="s">
        <v>185</v>
      </c>
      <c r="E64" s="1" t="s">
        <v>107</v>
      </c>
      <c r="F64" s="1" t="s">
        <v>108</v>
      </c>
      <c r="G64" s="1" t="s">
        <v>125</v>
      </c>
      <c r="H64" s="1" t="s">
        <v>140</v>
      </c>
      <c r="I64" s="1" t="s">
        <v>140</v>
      </c>
      <c r="J64" s="1" t="s">
        <v>140</v>
      </c>
      <c r="K64" s="1" t="s">
        <v>150</v>
      </c>
      <c r="L64" s="1" t="s">
        <v>201</v>
      </c>
      <c r="M64" s="1" t="s">
        <v>113</v>
      </c>
      <c r="N64" s="6" t="s">
        <v>114</v>
      </c>
      <c r="O64" s="1" t="s">
        <v>202</v>
      </c>
      <c r="P64" s="1" t="s">
        <v>113</v>
      </c>
      <c r="Q64" s="7" t="s">
        <v>234</v>
      </c>
      <c r="S64" s="1" t="s">
        <v>116</v>
      </c>
      <c r="T64" s="1" t="s">
        <v>117</v>
      </c>
      <c r="AC64" s="1">
        <v>1</v>
      </c>
      <c r="AD64" s="1">
        <v>0</v>
      </c>
    </row>
    <row r="65" spans="1:32" ht="16" customHeight="1" x14ac:dyDescent="0.15">
      <c r="A65" s="1" t="s">
        <v>370</v>
      </c>
      <c r="B65" s="1" t="s">
        <v>47</v>
      </c>
      <c r="C65" s="1">
        <v>76</v>
      </c>
      <c r="D65" s="1" t="s">
        <v>106</v>
      </c>
      <c r="E65" s="1" t="s">
        <v>107</v>
      </c>
      <c r="F65" s="1" t="s">
        <v>108</v>
      </c>
      <c r="G65" s="1" t="s">
        <v>125</v>
      </c>
      <c r="H65" s="1" t="s">
        <v>140</v>
      </c>
      <c r="I65" s="1" t="s">
        <v>140</v>
      </c>
      <c r="J65" s="1" t="s">
        <v>140</v>
      </c>
      <c r="K65" s="1" t="s">
        <v>150</v>
      </c>
      <c r="L65" s="1" t="s">
        <v>201</v>
      </c>
      <c r="M65" s="1" t="s">
        <v>113</v>
      </c>
      <c r="N65" s="6" t="s">
        <v>114</v>
      </c>
      <c r="O65" s="1" t="s">
        <v>202</v>
      </c>
      <c r="P65" s="1" t="s">
        <v>113</v>
      </c>
      <c r="Q65" s="6" t="s">
        <v>235</v>
      </c>
      <c r="S65" s="1" t="s">
        <v>116</v>
      </c>
      <c r="T65" s="1" t="s">
        <v>117</v>
      </c>
      <c r="U65" s="6" t="s">
        <v>236</v>
      </c>
      <c r="Z65" s="1">
        <v>0</v>
      </c>
      <c r="AC65" s="1">
        <v>0</v>
      </c>
      <c r="AD65" s="1">
        <v>1</v>
      </c>
    </row>
    <row r="66" spans="1:32" ht="16" customHeight="1" x14ac:dyDescent="0.2">
      <c r="A66" s="13" t="s">
        <v>369</v>
      </c>
      <c r="B66" s="1" t="s">
        <v>47</v>
      </c>
      <c r="C66" s="1">
        <v>49</v>
      </c>
      <c r="D66" s="1" t="s">
        <v>185</v>
      </c>
      <c r="E66" s="1" t="s">
        <v>121</v>
      </c>
      <c r="F66" s="1" t="s">
        <v>108</v>
      </c>
      <c r="G66" s="1" t="s">
        <v>109</v>
      </c>
      <c r="H66" s="1" t="s">
        <v>140</v>
      </c>
      <c r="I66" s="1" t="s">
        <v>140</v>
      </c>
      <c r="J66" s="1" t="s">
        <v>140</v>
      </c>
      <c r="K66" s="1" t="s">
        <v>150</v>
      </c>
      <c r="L66" s="1" t="s">
        <v>201</v>
      </c>
      <c r="M66" s="1" t="s">
        <v>113</v>
      </c>
      <c r="N66" s="6"/>
      <c r="P66" s="1" t="s">
        <v>115</v>
      </c>
      <c r="Q66" s="1" t="s">
        <v>115</v>
      </c>
      <c r="S66" s="1" t="s">
        <v>146</v>
      </c>
      <c r="T66" s="1" t="s">
        <v>122</v>
      </c>
      <c r="U66" s="6" t="s">
        <v>237</v>
      </c>
      <c r="Z66" s="1">
        <v>0</v>
      </c>
      <c r="AC66" s="1">
        <v>0</v>
      </c>
      <c r="AD66" s="1">
        <v>1</v>
      </c>
    </row>
    <row r="67" spans="1:32" ht="16" customHeight="1" x14ac:dyDescent="0.15">
      <c r="A67" s="1" t="s">
        <v>368</v>
      </c>
      <c r="B67" s="1" t="s">
        <v>47</v>
      </c>
      <c r="C67" s="1">
        <v>45</v>
      </c>
      <c r="D67" s="1" t="s">
        <v>185</v>
      </c>
      <c r="E67" s="1" t="s">
        <v>107</v>
      </c>
      <c r="F67" s="1" t="s">
        <v>108</v>
      </c>
      <c r="G67" s="1" t="s">
        <v>109</v>
      </c>
      <c r="H67" s="1" t="s">
        <v>140</v>
      </c>
      <c r="I67" s="1" t="s">
        <v>140</v>
      </c>
      <c r="J67" s="1" t="s">
        <v>140</v>
      </c>
      <c r="K67" s="1" t="s">
        <v>150</v>
      </c>
      <c r="L67" s="1" t="s">
        <v>201</v>
      </c>
      <c r="M67" s="1" t="s">
        <v>113</v>
      </c>
      <c r="N67" s="6" t="s">
        <v>114</v>
      </c>
      <c r="O67" s="1" t="s">
        <v>202</v>
      </c>
      <c r="P67" s="1" t="s">
        <v>113</v>
      </c>
      <c r="Q67" s="6" t="s">
        <v>238</v>
      </c>
      <c r="S67" s="1" t="s">
        <v>116</v>
      </c>
      <c r="T67" s="1" t="s">
        <v>122</v>
      </c>
      <c r="U67" s="6" t="s">
        <v>239</v>
      </c>
      <c r="Z67" s="1">
        <v>0</v>
      </c>
      <c r="AC67" s="1">
        <v>0</v>
      </c>
      <c r="AD67" s="1">
        <v>0</v>
      </c>
    </row>
    <row r="68" spans="1:32" ht="16" customHeight="1" x14ac:dyDescent="0.2">
      <c r="A68" s="13" t="s">
        <v>371</v>
      </c>
      <c r="B68" s="1" t="s">
        <v>47</v>
      </c>
      <c r="C68" s="1">
        <v>34</v>
      </c>
      <c r="D68" s="1" t="s">
        <v>120</v>
      </c>
      <c r="E68" s="1" t="s">
        <v>107</v>
      </c>
      <c r="F68" s="1" t="s">
        <v>108</v>
      </c>
      <c r="G68" s="1" t="s">
        <v>125</v>
      </c>
      <c r="H68" s="1" t="s">
        <v>140</v>
      </c>
      <c r="I68" s="1" t="s">
        <v>140</v>
      </c>
      <c r="J68" s="1" t="s">
        <v>140</v>
      </c>
      <c r="K68" s="1" t="s">
        <v>150</v>
      </c>
      <c r="L68" s="1" t="s">
        <v>201</v>
      </c>
      <c r="M68" s="1" t="s">
        <v>113</v>
      </c>
      <c r="N68" s="6"/>
      <c r="P68" s="1" t="s">
        <v>115</v>
      </c>
      <c r="Q68" s="1" t="s">
        <v>115</v>
      </c>
      <c r="S68" s="1" t="s">
        <v>116</v>
      </c>
      <c r="T68" s="1" t="s">
        <v>137</v>
      </c>
      <c r="AC68" s="1">
        <v>0</v>
      </c>
      <c r="AD68" s="1">
        <v>0</v>
      </c>
    </row>
    <row r="69" spans="1:32" ht="16" x14ac:dyDescent="0.2">
      <c r="A69" s="9">
        <v>2593</v>
      </c>
      <c r="B69" s="1" t="s">
        <v>47</v>
      </c>
      <c r="C69" s="1">
        <v>54</v>
      </c>
      <c r="D69" s="1" t="s">
        <v>185</v>
      </c>
      <c r="E69" s="1" t="s">
        <v>107</v>
      </c>
      <c r="F69" s="1" t="s">
        <v>108</v>
      </c>
      <c r="G69" s="1" t="s">
        <v>125</v>
      </c>
      <c r="H69" s="1" t="s">
        <v>140</v>
      </c>
      <c r="I69" s="1" t="s">
        <v>140</v>
      </c>
      <c r="J69" s="1" t="s">
        <v>140</v>
      </c>
      <c r="K69" s="1" t="s">
        <v>150</v>
      </c>
      <c r="L69" s="1" t="s">
        <v>201</v>
      </c>
      <c r="M69" s="1" t="s">
        <v>113</v>
      </c>
      <c r="N69" s="6" t="s">
        <v>114</v>
      </c>
      <c r="O69" s="1" t="s">
        <v>202</v>
      </c>
      <c r="P69" s="1" t="s">
        <v>113</v>
      </c>
      <c r="Q69" s="1" t="s">
        <v>386</v>
      </c>
      <c r="S69" s="1" t="s">
        <v>140</v>
      </c>
      <c r="T69" s="1" t="s">
        <v>140</v>
      </c>
      <c r="U69" s="1" t="s">
        <v>140</v>
      </c>
      <c r="Z69" s="1" t="s">
        <v>140</v>
      </c>
      <c r="AC69" s="1" t="s">
        <v>140</v>
      </c>
      <c r="AD69" s="1" t="s">
        <v>140</v>
      </c>
    </row>
    <row r="70" spans="1:32" ht="16" x14ac:dyDescent="0.2">
      <c r="A70" s="9">
        <v>2645</v>
      </c>
      <c r="B70" s="1" t="s">
        <v>47</v>
      </c>
      <c r="C70" s="1">
        <v>64</v>
      </c>
      <c r="D70" s="1" t="s">
        <v>106</v>
      </c>
      <c r="E70" s="1" t="s">
        <v>121</v>
      </c>
      <c r="F70" s="1" t="s">
        <v>108</v>
      </c>
      <c r="G70" s="1" t="s">
        <v>125</v>
      </c>
      <c r="H70" s="1" t="s">
        <v>140</v>
      </c>
      <c r="I70" s="1" t="s">
        <v>140</v>
      </c>
      <c r="J70" s="1" t="s">
        <v>140</v>
      </c>
      <c r="K70" s="1" t="s">
        <v>150</v>
      </c>
      <c r="L70" s="1" t="s">
        <v>201</v>
      </c>
      <c r="M70" s="1" t="s">
        <v>113</v>
      </c>
      <c r="N70" s="6" t="s">
        <v>114</v>
      </c>
      <c r="O70" s="1" t="s">
        <v>202</v>
      </c>
      <c r="P70" s="1" t="s">
        <v>113</v>
      </c>
      <c r="Q70" s="1" t="s">
        <v>385</v>
      </c>
      <c r="S70" s="1" t="s">
        <v>140</v>
      </c>
      <c r="T70" s="1" t="s">
        <v>140</v>
      </c>
      <c r="U70" s="1" t="s">
        <v>140</v>
      </c>
      <c r="Z70" s="1" t="s">
        <v>140</v>
      </c>
      <c r="AC70" s="1" t="s">
        <v>140</v>
      </c>
      <c r="AD70" s="1">
        <v>1</v>
      </c>
      <c r="AF70" s="1" t="s">
        <v>128</v>
      </c>
    </row>
    <row r="71" spans="1:32" ht="16" x14ac:dyDescent="0.2">
      <c r="A71" s="12"/>
      <c r="B71" s="12"/>
    </row>
    <row r="72" spans="1:32" ht="16" x14ac:dyDescent="0.2">
      <c r="A72" s="12"/>
      <c r="B72" s="12"/>
    </row>
    <row r="73" spans="1:32" ht="16" x14ac:dyDescent="0.2">
      <c r="A73" s="12"/>
      <c r="B73" s="12"/>
    </row>
    <row r="74" spans="1:32" ht="16" x14ac:dyDescent="0.2">
      <c r="A74" s="12"/>
      <c r="B74" s="12"/>
    </row>
    <row r="75" spans="1:32" ht="16" x14ac:dyDescent="0.2">
      <c r="A75" s="12"/>
      <c r="B75" s="12"/>
    </row>
    <row r="76" spans="1:32" ht="16" x14ac:dyDescent="0.2">
      <c r="A76" s="12"/>
      <c r="B76" s="12"/>
    </row>
    <row r="77" spans="1:32" ht="16" x14ac:dyDescent="0.2">
      <c r="A77" s="12"/>
      <c r="B77" s="12"/>
    </row>
    <row r="78" spans="1:32" ht="16" x14ac:dyDescent="0.2">
      <c r="A78" s="12"/>
      <c r="B78" s="12"/>
    </row>
    <row r="79" spans="1:32" ht="16" x14ac:dyDescent="0.2">
      <c r="A79" s="12"/>
      <c r="B79" s="12"/>
    </row>
    <row r="80" spans="1:32" ht="16" x14ac:dyDescent="0.2">
      <c r="A80" s="12"/>
      <c r="B80" s="12"/>
    </row>
    <row r="81" spans="1:2" ht="16" x14ac:dyDescent="0.2">
      <c r="A81" s="12"/>
      <c r="B81" s="12"/>
    </row>
    <row r="82" spans="1:2" ht="16" x14ac:dyDescent="0.2">
      <c r="A82" s="12"/>
      <c r="B82" s="12"/>
    </row>
    <row r="83" spans="1:2" ht="16" x14ac:dyDescent="0.2">
      <c r="A83" s="12"/>
      <c r="B83" s="12"/>
    </row>
    <row r="84" spans="1:2" ht="16" x14ac:dyDescent="0.2">
      <c r="A84" s="12"/>
      <c r="B84" s="12"/>
    </row>
    <row r="85" spans="1:2" ht="16" x14ac:dyDescent="0.2">
      <c r="A85" s="12"/>
      <c r="B85" s="12"/>
    </row>
    <row r="86" spans="1:2" ht="16" x14ac:dyDescent="0.2">
      <c r="A86" s="12"/>
      <c r="B86" s="12"/>
    </row>
    <row r="87" spans="1:2" ht="16" x14ac:dyDescent="0.2">
      <c r="A87" s="12"/>
      <c r="B87" s="1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829229-0355-7B46-9A05-5F2A1FB1CA88}">
  <dimension ref="A1:J90"/>
  <sheetViews>
    <sheetView tabSelected="1" zoomScale="110" zoomScaleNormal="110" workbookViewId="0">
      <pane xSplit="1" ySplit="1" topLeftCell="B37" activePane="bottomRight" state="frozen"/>
      <selection pane="topRight" activeCell="B1" sqref="B1"/>
      <selection pane="bottomLeft" activeCell="A2" sqref="A2"/>
      <selection pane="bottomRight" activeCell="A60" sqref="A60"/>
    </sheetView>
  </sheetViews>
  <sheetFormatPr baseColWidth="10" defaultRowHeight="16" x14ac:dyDescent="0.2"/>
  <cols>
    <col min="3" max="3" width="22" customWidth="1"/>
    <col min="4" max="4" width="24.33203125" customWidth="1"/>
    <col min="5" max="5" width="16" customWidth="1"/>
    <col min="6" max="6" width="17.83203125" customWidth="1"/>
    <col min="7" max="7" width="14.33203125" customWidth="1"/>
  </cols>
  <sheetData>
    <row r="1" spans="1:7" s="3" customFormat="1" x14ac:dyDescent="0.2">
      <c r="A1" s="2" t="s">
        <v>0</v>
      </c>
      <c r="B1" s="2" t="s">
        <v>1</v>
      </c>
      <c r="C1" s="3" t="s">
        <v>67</v>
      </c>
      <c r="D1" s="3" t="s">
        <v>68</v>
      </c>
      <c r="E1" s="3" t="s">
        <v>69</v>
      </c>
      <c r="F1" s="3" t="s">
        <v>366</v>
      </c>
      <c r="G1" s="3" t="s">
        <v>70</v>
      </c>
    </row>
    <row r="2" spans="1:7" x14ac:dyDescent="0.2">
      <c r="A2" s="1" t="s">
        <v>2</v>
      </c>
      <c r="B2" s="1" t="s">
        <v>3</v>
      </c>
      <c r="C2" t="s">
        <v>71</v>
      </c>
      <c r="D2" t="s">
        <v>71</v>
      </c>
      <c r="E2" t="s">
        <v>71</v>
      </c>
      <c r="F2" t="s">
        <v>71</v>
      </c>
    </row>
    <row r="3" spans="1:7" x14ac:dyDescent="0.2">
      <c r="A3" s="1" t="s">
        <v>4</v>
      </c>
      <c r="B3" s="1" t="s">
        <v>3</v>
      </c>
      <c r="C3" t="s">
        <v>71</v>
      </c>
      <c r="D3" t="s">
        <v>71</v>
      </c>
    </row>
    <row r="4" spans="1:7" x14ac:dyDescent="0.2">
      <c r="A4" s="1" t="s">
        <v>5</v>
      </c>
      <c r="B4" s="1" t="s">
        <v>3</v>
      </c>
      <c r="C4" t="s">
        <v>71</v>
      </c>
      <c r="D4" t="s">
        <v>71</v>
      </c>
      <c r="E4" t="s">
        <v>71</v>
      </c>
      <c r="F4" t="s">
        <v>71</v>
      </c>
    </row>
    <row r="5" spans="1:7" x14ac:dyDescent="0.2">
      <c r="A5" s="1" t="s">
        <v>6</v>
      </c>
      <c r="B5" s="1" t="s">
        <v>3</v>
      </c>
      <c r="C5" t="s">
        <v>71</v>
      </c>
      <c r="D5" t="s">
        <v>71</v>
      </c>
      <c r="E5" t="s">
        <v>71</v>
      </c>
      <c r="F5" t="s">
        <v>71</v>
      </c>
    </row>
    <row r="6" spans="1:7" x14ac:dyDescent="0.2">
      <c r="A6" s="1" t="s">
        <v>7</v>
      </c>
      <c r="B6" s="1" t="s">
        <v>3</v>
      </c>
      <c r="C6" t="s">
        <v>71</v>
      </c>
      <c r="D6" t="s">
        <v>71</v>
      </c>
      <c r="E6" t="s">
        <v>71</v>
      </c>
      <c r="F6" t="s">
        <v>71</v>
      </c>
    </row>
    <row r="7" spans="1:7" x14ac:dyDescent="0.2">
      <c r="A7" s="1" t="s">
        <v>8</v>
      </c>
      <c r="B7" s="1" t="s">
        <v>3</v>
      </c>
      <c r="C7" t="s">
        <v>71</v>
      </c>
      <c r="D7" t="s">
        <v>71</v>
      </c>
      <c r="E7" t="s">
        <v>71</v>
      </c>
      <c r="F7" t="s">
        <v>71</v>
      </c>
    </row>
    <row r="8" spans="1:7" x14ac:dyDescent="0.2">
      <c r="A8" s="1" t="s">
        <v>9</v>
      </c>
      <c r="B8" s="1" t="s">
        <v>3</v>
      </c>
      <c r="C8" t="s">
        <v>71</v>
      </c>
      <c r="D8" t="s">
        <v>71</v>
      </c>
      <c r="E8" t="s">
        <v>71</v>
      </c>
      <c r="F8" t="s">
        <v>71</v>
      </c>
    </row>
    <row r="9" spans="1:7" x14ac:dyDescent="0.2">
      <c r="A9" s="1" t="s">
        <v>10</v>
      </c>
      <c r="B9" s="1" t="s">
        <v>3</v>
      </c>
      <c r="C9" t="s">
        <v>71</v>
      </c>
      <c r="D9" t="s">
        <v>71</v>
      </c>
    </row>
    <row r="10" spans="1:7" x14ac:dyDescent="0.2">
      <c r="A10" s="1" t="s">
        <v>11</v>
      </c>
      <c r="B10" s="1" t="s">
        <v>3</v>
      </c>
      <c r="C10" t="s">
        <v>71</v>
      </c>
      <c r="D10" t="s">
        <v>71</v>
      </c>
    </row>
    <row r="11" spans="1:7" x14ac:dyDescent="0.2">
      <c r="A11" s="1" t="s">
        <v>12</v>
      </c>
      <c r="B11" s="1" t="s">
        <v>3</v>
      </c>
      <c r="C11" t="s">
        <v>71</v>
      </c>
      <c r="D11" t="s">
        <v>71</v>
      </c>
    </row>
    <row r="12" spans="1:7" x14ac:dyDescent="0.2">
      <c r="A12" s="1" t="s">
        <v>13</v>
      </c>
      <c r="B12" s="1" t="s">
        <v>3</v>
      </c>
      <c r="C12" t="s">
        <v>71</v>
      </c>
      <c r="D12" t="s">
        <v>71</v>
      </c>
    </row>
    <row r="13" spans="1:7" x14ac:dyDescent="0.2">
      <c r="A13" s="1" t="s">
        <v>14</v>
      </c>
      <c r="B13" s="1" t="s">
        <v>3</v>
      </c>
      <c r="C13" t="s">
        <v>71</v>
      </c>
      <c r="E13" t="s">
        <v>71</v>
      </c>
    </row>
    <row r="14" spans="1:7" x14ac:dyDescent="0.2">
      <c r="A14" s="1" t="s">
        <v>15</v>
      </c>
      <c r="B14" s="1" t="s">
        <v>3</v>
      </c>
      <c r="C14" t="s">
        <v>71</v>
      </c>
      <c r="D14" t="s">
        <v>71</v>
      </c>
    </row>
    <row r="15" spans="1:7" x14ac:dyDescent="0.2">
      <c r="A15" s="1" t="s">
        <v>16</v>
      </c>
      <c r="B15" s="1" t="s">
        <v>3</v>
      </c>
      <c r="C15" t="s">
        <v>71</v>
      </c>
      <c r="D15" t="s">
        <v>71</v>
      </c>
      <c r="E15" t="s">
        <v>71</v>
      </c>
      <c r="F15" t="s">
        <v>71</v>
      </c>
    </row>
    <row r="16" spans="1:7" x14ac:dyDescent="0.2">
      <c r="A16" s="1" t="s">
        <v>17</v>
      </c>
      <c r="B16" s="1" t="s">
        <v>3</v>
      </c>
      <c r="C16" t="s">
        <v>71</v>
      </c>
      <c r="D16" t="s">
        <v>71</v>
      </c>
    </row>
    <row r="17" spans="1:6" x14ac:dyDescent="0.2">
      <c r="A17" s="1" t="s">
        <v>18</v>
      </c>
      <c r="B17" s="1" t="s">
        <v>3</v>
      </c>
      <c r="C17" t="s">
        <v>71</v>
      </c>
      <c r="D17" t="s">
        <v>71</v>
      </c>
      <c r="E17" t="s">
        <v>71</v>
      </c>
      <c r="F17" t="s">
        <v>71</v>
      </c>
    </row>
    <row r="18" spans="1:6" x14ac:dyDescent="0.2">
      <c r="A18" s="1" t="s">
        <v>19</v>
      </c>
      <c r="B18" s="1" t="s">
        <v>3</v>
      </c>
      <c r="C18" t="s">
        <v>71</v>
      </c>
      <c r="D18" t="s">
        <v>71</v>
      </c>
    </row>
    <row r="19" spans="1:6" x14ac:dyDescent="0.2">
      <c r="A19" s="1" t="s">
        <v>20</v>
      </c>
      <c r="B19" s="1" t="s">
        <v>3</v>
      </c>
      <c r="C19" t="s">
        <v>71</v>
      </c>
      <c r="D19" t="s">
        <v>71</v>
      </c>
      <c r="E19" t="s">
        <v>71</v>
      </c>
      <c r="F19" t="s">
        <v>71</v>
      </c>
    </row>
    <row r="20" spans="1:6" x14ac:dyDescent="0.2">
      <c r="A20" s="1" t="s">
        <v>21</v>
      </c>
      <c r="B20" s="1" t="s">
        <v>3</v>
      </c>
      <c r="C20" t="s">
        <v>71</v>
      </c>
      <c r="D20" t="s">
        <v>71</v>
      </c>
      <c r="E20" t="s">
        <v>71</v>
      </c>
      <c r="F20" t="s">
        <v>71</v>
      </c>
    </row>
    <row r="21" spans="1:6" x14ac:dyDescent="0.2">
      <c r="A21" s="1" t="s">
        <v>22</v>
      </c>
      <c r="B21" s="1" t="s">
        <v>3</v>
      </c>
      <c r="C21" t="s">
        <v>71</v>
      </c>
      <c r="D21" t="s">
        <v>71</v>
      </c>
      <c r="E21" t="s">
        <v>71</v>
      </c>
    </row>
    <row r="22" spans="1:6" x14ac:dyDescent="0.2">
      <c r="A22" s="1" t="s">
        <v>23</v>
      </c>
      <c r="B22" s="1" t="s">
        <v>3</v>
      </c>
      <c r="C22" t="s">
        <v>71</v>
      </c>
      <c r="D22" t="s">
        <v>71</v>
      </c>
    </row>
    <row r="23" spans="1:6" x14ac:dyDescent="0.2">
      <c r="A23" s="1" t="s">
        <v>24</v>
      </c>
      <c r="B23" s="1" t="s">
        <v>3</v>
      </c>
      <c r="C23" t="s">
        <v>71</v>
      </c>
      <c r="D23" t="s">
        <v>71</v>
      </c>
      <c r="E23" t="s">
        <v>71</v>
      </c>
    </row>
    <row r="24" spans="1:6" x14ac:dyDescent="0.2">
      <c r="A24" s="1" t="s">
        <v>25</v>
      </c>
      <c r="B24" s="1" t="s">
        <v>3</v>
      </c>
      <c r="C24" t="s">
        <v>71</v>
      </c>
      <c r="D24" t="s">
        <v>71</v>
      </c>
      <c r="E24" t="s">
        <v>71</v>
      </c>
    </row>
    <row r="25" spans="1:6" x14ac:dyDescent="0.2">
      <c r="A25" s="1" t="s">
        <v>26</v>
      </c>
      <c r="B25" s="1" t="s">
        <v>3</v>
      </c>
      <c r="C25" t="s">
        <v>71</v>
      </c>
    </row>
    <row r="26" spans="1:6" x14ac:dyDescent="0.2">
      <c r="A26" s="1" t="s">
        <v>27</v>
      </c>
      <c r="B26" s="1" t="s">
        <v>3</v>
      </c>
      <c r="C26" t="s">
        <v>71</v>
      </c>
    </row>
    <row r="27" spans="1:6" x14ac:dyDescent="0.2">
      <c r="A27" s="1" t="s">
        <v>28</v>
      </c>
      <c r="B27" s="1" t="s">
        <v>3</v>
      </c>
      <c r="C27" t="s">
        <v>71</v>
      </c>
      <c r="D27" t="s">
        <v>71</v>
      </c>
    </row>
    <row r="28" spans="1:6" x14ac:dyDescent="0.2">
      <c r="A28" s="1" t="s">
        <v>29</v>
      </c>
      <c r="B28" s="1" t="s">
        <v>3</v>
      </c>
      <c r="C28" t="s">
        <v>71</v>
      </c>
      <c r="D28" t="s">
        <v>71</v>
      </c>
    </row>
    <row r="29" spans="1:6" x14ac:dyDescent="0.2">
      <c r="A29" s="1" t="s">
        <v>30</v>
      </c>
      <c r="B29" s="1" t="s">
        <v>3</v>
      </c>
      <c r="C29" t="s">
        <v>71</v>
      </c>
      <c r="D29" t="s">
        <v>71</v>
      </c>
    </row>
    <row r="30" spans="1:6" x14ac:dyDescent="0.2">
      <c r="A30" s="1" t="s">
        <v>31</v>
      </c>
      <c r="B30" s="1" t="s">
        <v>3</v>
      </c>
      <c r="C30" t="s">
        <v>71</v>
      </c>
      <c r="D30" t="s">
        <v>71</v>
      </c>
    </row>
    <row r="31" spans="1:6" x14ac:dyDescent="0.2">
      <c r="A31" s="1" t="s">
        <v>32</v>
      </c>
      <c r="B31" s="1" t="s">
        <v>3</v>
      </c>
      <c r="C31" t="s">
        <v>71</v>
      </c>
      <c r="D31" t="s">
        <v>71</v>
      </c>
      <c r="E31" t="s">
        <v>71</v>
      </c>
    </row>
    <row r="32" spans="1:6" x14ac:dyDescent="0.2">
      <c r="A32" s="1" t="s">
        <v>33</v>
      </c>
      <c r="B32" s="1" t="s">
        <v>3</v>
      </c>
      <c r="C32" t="s">
        <v>71</v>
      </c>
      <c r="D32" t="s">
        <v>71</v>
      </c>
    </row>
    <row r="33" spans="1:10" x14ac:dyDescent="0.2">
      <c r="A33" s="1" t="s">
        <v>34</v>
      </c>
      <c r="B33" s="1" t="s">
        <v>3</v>
      </c>
      <c r="C33" t="s">
        <v>71</v>
      </c>
      <c r="D33" t="s">
        <v>71</v>
      </c>
      <c r="E33" t="s">
        <v>71</v>
      </c>
    </row>
    <row r="34" spans="1:10" x14ac:dyDescent="0.2">
      <c r="A34" s="1" t="s">
        <v>35</v>
      </c>
      <c r="B34" s="1" t="s">
        <v>3</v>
      </c>
      <c r="C34" t="s">
        <v>71</v>
      </c>
      <c r="D34" t="s">
        <v>71</v>
      </c>
      <c r="E34" t="s">
        <v>71</v>
      </c>
    </row>
    <row r="35" spans="1:10" x14ac:dyDescent="0.2">
      <c r="A35" s="1" t="s">
        <v>36</v>
      </c>
      <c r="B35" s="1" t="s">
        <v>3</v>
      </c>
      <c r="C35" t="s">
        <v>71</v>
      </c>
      <c r="D35" t="s">
        <v>71</v>
      </c>
      <c r="E35" t="s">
        <v>71</v>
      </c>
    </row>
    <row r="36" spans="1:10" x14ac:dyDescent="0.2">
      <c r="A36" s="1" t="s">
        <v>37</v>
      </c>
      <c r="B36" s="1" t="s">
        <v>3</v>
      </c>
      <c r="E36" t="s">
        <v>71</v>
      </c>
    </row>
    <row r="37" spans="1:10" x14ac:dyDescent="0.2">
      <c r="A37" s="1" t="s">
        <v>38</v>
      </c>
      <c r="B37" s="1" t="s">
        <v>3</v>
      </c>
      <c r="E37" t="s">
        <v>71</v>
      </c>
    </row>
    <row r="38" spans="1:10" x14ac:dyDescent="0.2">
      <c r="A38" s="1" t="s">
        <v>39</v>
      </c>
      <c r="B38" s="1" t="s">
        <v>3</v>
      </c>
      <c r="E38" t="s">
        <v>71</v>
      </c>
    </row>
    <row r="39" spans="1:10" x14ac:dyDescent="0.2">
      <c r="A39" s="1" t="s">
        <v>40</v>
      </c>
      <c r="B39" s="1" t="s">
        <v>3</v>
      </c>
      <c r="E39" t="s">
        <v>71</v>
      </c>
    </row>
    <row r="40" spans="1:10" x14ac:dyDescent="0.2">
      <c r="A40" s="1" t="s">
        <v>41</v>
      </c>
      <c r="B40" s="1" t="s">
        <v>3</v>
      </c>
      <c r="E40" t="s">
        <v>71</v>
      </c>
    </row>
    <row r="41" spans="1:10" x14ac:dyDescent="0.2">
      <c r="A41" s="1" t="s">
        <v>42</v>
      </c>
      <c r="B41" s="1" t="s">
        <v>3</v>
      </c>
      <c r="E41" t="s">
        <v>71</v>
      </c>
    </row>
    <row r="42" spans="1:10" x14ac:dyDescent="0.2">
      <c r="A42" s="1" t="s">
        <v>43</v>
      </c>
      <c r="B42" s="1" t="s">
        <v>3</v>
      </c>
      <c r="E42" t="s">
        <v>71</v>
      </c>
    </row>
    <row r="43" spans="1:10" x14ac:dyDescent="0.2">
      <c r="A43" s="1" t="s">
        <v>44</v>
      </c>
      <c r="B43" s="1" t="s">
        <v>3</v>
      </c>
      <c r="E43" t="s">
        <v>71</v>
      </c>
    </row>
    <row r="44" spans="1:10" x14ac:dyDescent="0.2">
      <c r="A44" s="1" t="s">
        <v>45</v>
      </c>
      <c r="B44" s="1" t="s">
        <v>3</v>
      </c>
      <c r="E44" t="s">
        <v>71</v>
      </c>
    </row>
    <row r="45" spans="1:10" x14ac:dyDescent="0.2">
      <c r="A45" s="1" t="s">
        <v>46</v>
      </c>
      <c r="B45" s="1" t="s">
        <v>47</v>
      </c>
      <c r="C45" t="s">
        <v>72</v>
      </c>
      <c r="D45" t="s">
        <v>72</v>
      </c>
      <c r="I45" s="1"/>
      <c r="J45" s="6"/>
    </row>
    <row r="46" spans="1:10" x14ac:dyDescent="0.2">
      <c r="A46" s="1" t="s">
        <v>48</v>
      </c>
      <c r="B46" s="1" t="s">
        <v>47</v>
      </c>
      <c r="C46" t="s">
        <v>72</v>
      </c>
      <c r="D46" t="s">
        <v>72</v>
      </c>
      <c r="I46" s="1"/>
      <c r="J46" s="6"/>
    </row>
    <row r="47" spans="1:10" x14ac:dyDescent="0.2">
      <c r="A47" s="1" t="s">
        <v>49</v>
      </c>
      <c r="B47" s="1" t="s">
        <v>47</v>
      </c>
      <c r="C47" t="s">
        <v>71</v>
      </c>
      <c r="D47" t="s">
        <v>71</v>
      </c>
      <c r="I47" s="1"/>
      <c r="J47" s="6"/>
    </row>
    <row r="48" spans="1:10" x14ac:dyDescent="0.2">
      <c r="A48" s="1" t="s">
        <v>50</v>
      </c>
      <c r="B48" s="1" t="s">
        <v>47</v>
      </c>
      <c r="C48" t="s">
        <v>71</v>
      </c>
      <c r="I48" s="1"/>
      <c r="J48" s="6"/>
    </row>
    <row r="49" spans="1:10" x14ac:dyDescent="0.2">
      <c r="A49" s="1" t="s">
        <v>51</v>
      </c>
      <c r="B49" s="1" t="s">
        <v>47</v>
      </c>
      <c r="C49" t="s">
        <v>72</v>
      </c>
      <c r="I49" s="1"/>
      <c r="J49" s="6"/>
    </row>
    <row r="50" spans="1:10" x14ac:dyDescent="0.2">
      <c r="A50" s="1" t="s">
        <v>52</v>
      </c>
      <c r="B50" s="1" t="s">
        <v>47</v>
      </c>
      <c r="C50" t="s">
        <v>72</v>
      </c>
      <c r="I50" s="1"/>
      <c r="J50" s="6"/>
    </row>
    <row r="51" spans="1:10" x14ac:dyDescent="0.2">
      <c r="A51" s="1" t="s">
        <v>53</v>
      </c>
      <c r="B51" s="1" t="s">
        <v>47</v>
      </c>
      <c r="C51" t="s">
        <v>72</v>
      </c>
      <c r="D51" t="s">
        <v>72</v>
      </c>
      <c r="I51" s="1"/>
      <c r="J51" s="6"/>
    </row>
    <row r="52" spans="1:10" x14ac:dyDescent="0.2">
      <c r="A52" s="1" t="s">
        <v>54</v>
      </c>
      <c r="B52" s="1" t="s">
        <v>47</v>
      </c>
      <c r="C52" t="s">
        <v>423</v>
      </c>
      <c r="G52" t="s">
        <v>423</v>
      </c>
      <c r="I52" s="1"/>
      <c r="J52" s="6"/>
    </row>
    <row r="53" spans="1:10" x14ac:dyDescent="0.2">
      <c r="A53" s="1" t="s">
        <v>55</v>
      </c>
      <c r="B53" s="1" t="s">
        <v>47</v>
      </c>
      <c r="G53" t="s">
        <v>423</v>
      </c>
      <c r="I53" s="1"/>
      <c r="J53" s="6"/>
    </row>
    <row r="54" spans="1:10" x14ac:dyDescent="0.2">
      <c r="A54" s="1" t="s">
        <v>56</v>
      </c>
      <c r="B54" s="1" t="s">
        <v>47</v>
      </c>
      <c r="C54" t="s">
        <v>72</v>
      </c>
      <c r="D54" t="s">
        <v>72</v>
      </c>
      <c r="G54" t="s">
        <v>423</v>
      </c>
      <c r="I54" s="1"/>
      <c r="J54" s="6"/>
    </row>
    <row r="55" spans="1:10" x14ac:dyDescent="0.2">
      <c r="A55" s="1" t="s">
        <v>57</v>
      </c>
      <c r="B55" s="1" t="s">
        <v>47</v>
      </c>
      <c r="C55" t="s">
        <v>72</v>
      </c>
      <c r="D55" t="s">
        <v>72</v>
      </c>
      <c r="I55" s="1"/>
      <c r="J55" s="6"/>
    </row>
    <row r="56" spans="1:10" x14ac:dyDescent="0.2">
      <c r="A56" s="1" t="s">
        <v>58</v>
      </c>
      <c r="B56" s="1" t="s">
        <v>47</v>
      </c>
      <c r="C56" t="s">
        <v>71</v>
      </c>
      <c r="D56" t="s">
        <v>71</v>
      </c>
      <c r="E56" t="s">
        <v>71</v>
      </c>
      <c r="I56" s="1"/>
      <c r="J56" s="6"/>
    </row>
    <row r="57" spans="1:10" x14ac:dyDescent="0.2">
      <c r="A57" s="1" t="s">
        <v>59</v>
      </c>
      <c r="B57" s="1" t="s">
        <v>47</v>
      </c>
      <c r="C57" t="s">
        <v>72</v>
      </c>
      <c r="D57" t="s">
        <v>72</v>
      </c>
      <c r="G57" t="s">
        <v>71</v>
      </c>
      <c r="I57" s="1"/>
      <c r="J57" s="6"/>
    </row>
    <row r="58" spans="1:10" x14ac:dyDescent="0.2">
      <c r="A58" s="1" t="s">
        <v>60</v>
      </c>
      <c r="B58" s="1" t="s">
        <v>47</v>
      </c>
      <c r="C58" t="s">
        <v>72</v>
      </c>
      <c r="D58" t="s">
        <v>72</v>
      </c>
      <c r="E58" t="s">
        <v>71</v>
      </c>
      <c r="I58" s="1"/>
      <c r="J58" s="6"/>
    </row>
    <row r="59" spans="1:10" x14ac:dyDescent="0.2">
      <c r="A59" s="1" t="s">
        <v>61</v>
      </c>
      <c r="B59" s="1" t="s">
        <v>47</v>
      </c>
      <c r="C59" t="s">
        <v>71</v>
      </c>
      <c r="D59" t="s">
        <v>71</v>
      </c>
      <c r="E59" t="s">
        <v>71</v>
      </c>
      <c r="I59" s="1"/>
      <c r="J59" s="6"/>
    </row>
    <row r="60" spans="1:10" x14ac:dyDescent="0.2">
      <c r="A60" s="1" t="s">
        <v>62</v>
      </c>
      <c r="B60" s="1" t="s">
        <v>47</v>
      </c>
      <c r="C60" t="s">
        <v>71</v>
      </c>
      <c r="D60" t="s">
        <v>71</v>
      </c>
      <c r="F60" t="s">
        <v>71</v>
      </c>
      <c r="I60" s="1"/>
      <c r="J60" s="6"/>
    </row>
    <row r="61" spans="1:10" x14ac:dyDescent="0.2">
      <c r="A61" s="1" t="s">
        <v>63</v>
      </c>
      <c r="B61" s="1" t="s">
        <v>47</v>
      </c>
      <c r="C61" t="s">
        <v>71</v>
      </c>
      <c r="D61" t="s">
        <v>71</v>
      </c>
      <c r="F61" t="s">
        <v>71</v>
      </c>
      <c r="G61" t="s">
        <v>423</v>
      </c>
      <c r="I61" s="1"/>
      <c r="J61" s="6"/>
    </row>
    <row r="62" spans="1:10" x14ac:dyDescent="0.2">
      <c r="A62" s="1" t="s">
        <v>64</v>
      </c>
      <c r="B62" s="1" t="s">
        <v>47</v>
      </c>
      <c r="C62" t="s">
        <v>423</v>
      </c>
      <c r="G62" t="s">
        <v>423</v>
      </c>
      <c r="I62" s="1"/>
      <c r="J62" s="6"/>
    </row>
    <row r="63" spans="1:10" x14ac:dyDescent="0.2">
      <c r="A63" s="1" t="s">
        <v>65</v>
      </c>
      <c r="B63" s="1" t="s">
        <v>47</v>
      </c>
      <c r="E63" t="s">
        <v>71</v>
      </c>
      <c r="I63" s="1"/>
      <c r="J63" s="6"/>
    </row>
    <row r="64" spans="1:10" x14ac:dyDescent="0.2">
      <c r="A64" s="1" t="s">
        <v>66</v>
      </c>
      <c r="B64" s="1" t="s">
        <v>47</v>
      </c>
      <c r="C64" t="s">
        <v>423</v>
      </c>
      <c r="D64" t="s">
        <v>71</v>
      </c>
      <c r="I64" s="1"/>
      <c r="J64" s="6"/>
    </row>
    <row r="65" spans="1:10" x14ac:dyDescent="0.2">
      <c r="A65" s="1" t="s">
        <v>370</v>
      </c>
      <c r="B65" s="1" t="s">
        <v>47</v>
      </c>
      <c r="E65" t="s">
        <v>71</v>
      </c>
      <c r="F65" t="s">
        <v>71</v>
      </c>
      <c r="I65" s="1"/>
      <c r="J65" s="6"/>
    </row>
    <row r="66" spans="1:10" x14ac:dyDescent="0.2">
      <c r="A66" s="13" t="s">
        <v>369</v>
      </c>
      <c r="B66" s="1" t="s">
        <v>47</v>
      </c>
      <c r="F66" t="s">
        <v>423</v>
      </c>
      <c r="G66" t="s">
        <v>423</v>
      </c>
      <c r="I66" s="1"/>
      <c r="J66" s="6"/>
    </row>
    <row r="67" spans="1:10" ht="18" customHeight="1" x14ac:dyDescent="0.2">
      <c r="A67" s="1" t="s">
        <v>368</v>
      </c>
      <c r="B67" s="1" t="s">
        <v>47</v>
      </c>
      <c r="F67" t="s">
        <v>423</v>
      </c>
      <c r="G67" t="s">
        <v>423</v>
      </c>
      <c r="I67" s="1"/>
      <c r="J67" s="6"/>
    </row>
    <row r="68" spans="1:10" x14ac:dyDescent="0.2">
      <c r="A68" s="13" t="s">
        <v>371</v>
      </c>
      <c r="B68" s="1" t="s">
        <v>47</v>
      </c>
      <c r="E68" t="s">
        <v>71</v>
      </c>
      <c r="I68" s="1"/>
      <c r="J68" s="6"/>
    </row>
    <row r="69" spans="1:10" x14ac:dyDescent="0.2">
      <c r="A69" s="9">
        <v>2593</v>
      </c>
      <c r="B69" s="1" t="s">
        <v>47</v>
      </c>
      <c r="E69" t="s">
        <v>71</v>
      </c>
    </row>
    <row r="70" spans="1:10" x14ac:dyDescent="0.2">
      <c r="A70" s="9">
        <v>2645</v>
      </c>
      <c r="B70" s="1" t="s">
        <v>47</v>
      </c>
      <c r="E70" t="s">
        <v>71</v>
      </c>
    </row>
    <row r="71" spans="1:10" x14ac:dyDescent="0.2">
      <c r="A71" s="15">
        <v>7352</v>
      </c>
      <c r="B71" s="15" t="s">
        <v>393</v>
      </c>
      <c r="C71" t="s">
        <v>71</v>
      </c>
      <c r="E71" t="s">
        <v>71</v>
      </c>
    </row>
    <row r="72" spans="1:10" x14ac:dyDescent="0.2">
      <c r="A72" s="15">
        <v>7353</v>
      </c>
      <c r="B72" s="15" t="s">
        <v>393</v>
      </c>
      <c r="C72" t="s">
        <v>71</v>
      </c>
    </row>
    <row r="73" spans="1:10" x14ac:dyDescent="0.2">
      <c r="A73" s="15">
        <v>7354</v>
      </c>
      <c r="B73" s="15" t="s">
        <v>393</v>
      </c>
      <c r="C73" t="s">
        <v>71</v>
      </c>
    </row>
    <row r="74" spans="1:10" x14ac:dyDescent="0.2">
      <c r="A74" s="15">
        <v>7357</v>
      </c>
      <c r="B74" s="15" t="s">
        <v>390</v>
      </c>
      <c r="C74" t="s">
        <v>71</v>
      </c>
    </row>
    <row r="75" spans="1:10" x14ac:dyDescent="0.2">
      <c r="A75" s="15">
        <v>7361</v>
      </c>
      <c r="B75" s="15" t="s">
        <v>390</v>
      </c>
      <c r="C75" t="s">
        <v>71</v>
      </c>
      <c r="E75" t="s">
        <v>71</v>
      </c>
    </row>
    <row r="76" spans="1:10" x14ac:dyDescent="0.2">
      <c r="A76" s="15">
        <v>7448</v>
      </c>
      <c r="B76" s="15" t="s">
        <v>390</v>
      </c>
      <c r="C76" t="s">
        <v>71</v>
      </c>
      <c r="E76" t="s">
        <v>71</v>
      </c>
    </row>
    <row r="77" spans="1:10" x14ac:dyDescent="0.2">
      <c r="A77" s="15">
        <v>7450</v>
      </c>
      <c r="B77" s="15" t="s">
        <v>390</v>
      </c>
      <c r="C77" t="s">
        <v>71</v>
      </c>
      <c r="E77" t="s">
        <v>71</v>
      </c>
    </row>
    <row r="78" spans="1:10" x14ac:dyDescent="0.2">
      <c r="A78" s="15">
        <v>7452</v>
      </c>
      <c r="B78" s="15" t="s">
        <v>390</v>
      </c>
      <c r="C78" t="s">
        <v>71</v>
      </c>
    </row>
    <row r="79" spans="1:10" x14ac:dyDescent="0.2">
      <c r="A79" s="15">
        <v>7548</v>
      </c>
      <c r="B79" s="15" t="s">
        <v>390</v>
      </c>
      <c r="C79" t="s">
        <v>71</v>
      </c>
    </row>
    <row r="80" spans="1:10" x14ac:dyDescent="0.2">
      <c r="A80" s="15">
        <v>7434</v>
      </c>
      <c r="B80" s="15" t="s">
        <v>393</v>
      </c>
      <c r="C80" t="s">
        <v>71</v>
      </c>
    </row>
    <row r="81" spans="1:5" x14ac:dyDescent="0.2">
      <c r="A81" s="15">
        <v>7435</v>
      </c>
      <c r="B81" s="15" t="s">
        <v>393</v>
      </c>
      <c r="C81" t="s">
        <v>71</v>
      </c>
      <c r="E81" t="s">
        <v>71</v>
      </c>
    </row>
    <row r="82" spans="1:5" x14ac:dyDescent="0.2">
      <c r="A82" s="15">
        <v>7250</v>
      </c>
      <c r="B82" s="15" t="s">
        <v>393</v>
      </c>
      <c r="C82" s="14"/>
      <c r="D82" s="14"/>
      <c r="E82" t="s">
        <v>71</v>
      </c>
    </row>
    <row r="83" spans="1:5" x14ac:dyDescent="0.2">
      <c r="A83" s="15">
        <v>7251</v>
      </c>
      <c r="B83" s="15" t="s">
        <v>390</v>
      </c>
      <c r="C83" t="s">
        <v>71</v>
      </c>
    </row>
    <row r="84" spans="1:5" x14ac:dyDescent="0.2">
      <c r="A84" s="15">
        <v>7254</v>
      </c>
      <c r="B84" s="15" t="s">
        <v>390</v>
      </c>
      <c r="C84" t="s">
        <v>71</v>
      </c>
      <c r="E84" t="s">
        <v>71</v>
      </c>
    </row>
    <row r="85" spans="1:5" x14ac:dyDescent="0.2">
      <c r="A85" s="15">
        <v>7259</v>
      </c>
      <c r="B85" s="15" t="s">
        <v>390</v>
      </c>
      <c r="C85" t="s">
        <v>71</v>
      </c>
      <c r="E85" t="s">
        <v>71</v>
      </c>
    </row>
    <row r="86" spans="1:5" x14ac:dyDescent="0.2">
      <c r="A86" s="15">
        <v>7260</v>
      </c>
      <c r="B86" s="15" t="s">
        <v>390</v>
      </c>
      <c r="C86" t="s">
        <v>71</v>
      </c>
      <c r="E86" t="s">
        <v>71</v>
      </c>
    </row>
    <row r="87" spans="1:5" x14ac:dyDescent="0.2">
      <c r="A87" s="15">
        <v>7248</v>
      </c>
      <c r="B87" s="15" t="s">
        <v>393</v>
      </c>
      <c r="C87" t="s">
        <v>71</v>
      </c>
    </row>
    <row r="88" spans="1:5" x14ac:dyDescent="0.2">
      <c r="A88" s="15">
        <v>7249</v>
      </c>
      <c r="B88" s="15" t="s">
        <v>393</v>
      </c>
      <c r="C88" t="s">
        <v>71</v>
      </c>
    </row>
    <row r="89" spans="1:5" x14ac:dyDescent="0.2">
      <c r="A89" s="14">
        <v>7001</v>
      </c>
      <c r="B89" s="15" t="s">
        <v>393</v>
      </c>
      <c r="E89" t="s">
        <v>71</v>
      </c>
    </row>
    <row r="90" spans="1:5" x14ac:dyDescent="0.2">
      <c r="A90" s="14">
        <v>7239</v>
      </c>
      <c r="B90" s="15" t="s">
        <v>390</v>
      </c>
      <c r="E90" t="s">
        <v>71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64FC50-304B-B64D-A7AD-397FBFF6F2C5}">
  <dimension ref="A1:F161"/>
  <sheetViews>
    <sheetView topLeftCell="A97" workbookViewId="0">
      <selection activeCell="B117" sqref="B117"/>
    </sheetView>
  </sheetViews>
  <sheetFormatPr baseColWidth="10" defaultRowHeight="16" x14ac:dyDescent="0.2"/>
  <cols>
    <col min="1" max="2" width="10.83203125" style="9"/>
    <col min="3" max="3" width="31.5" style="9" customWidth="1"/>
    <col min="4" max="4" width="27.83203125" style="9" customWidth="1"/>
    <col min="5" max="16384" width="10.83203125" style="9"/>
  </cols>
  <sheetData>
    <row r="1" spans="1:4" s="8" customFormat="1" x14ac:dyDescent="0.2">
      <c r="A1" s="8" t="s">
        <v>1</v>
      </c>
      <c r="B1" s="8" t="s">
        <v>241</v>
      </c>
      <c r="C1" s="8" t="s">
        <v>242</v>
      </c>
      <c r="D1" s="8" t="s">
        <v>243</v>
      </c>
    </row>
    <row r="2" spans="1:4" x14ac:dyDescent="0.2">
      <c r="A2" s="9" t="s">
        <v>3</v>
      </c>
      <c r="B2" s="9" t="s">
        <v>2</v>
      </c>
      <c r="C2" s="9" t="s">
        <v>244</v>
      </c>
      <c r="D2" s="9" t="s">
        <v>321</v>
      </c>
    </row>
    <row r="3" spans="1:4" x14ac:dyDescent="0.2">
      <c r="A3" s="9" t="s">
        <v>3</v>
      </c>
      <c r="B3" s="9" t="s">
        <v>4</v>
      </c>
      <c r="C3" s="9" t="s">
        <v>245</v>
      </c>
      <c r="D3" s="9" t="s">
        <v>321</v>
      </c>
    </row>
    <row r="4" spans="1:4" x14ac:dyDescent="0.2">
      <c r="A4" s="9" t="s">
        <v>3</v>
      </c>
      <c r="B4" s="9" t="s">
        <v>5</v>
      </c>
      <c r="C4" s="9" t="s">
        <v>246</v>
      </c>
      <c r="D4" s="9" t="s">
        <v>321</v>
      </c>
    </row>
    <row r="5" spans="1:4" x14ac:dyDescent="0.2">
      <c r="A5" s="9" t="s">
        <v>3</v>
      </c>
      <c r="B5" s="9" t="s">
        <v>6</v>
      </c>
      <c r="C5" s="9" t="s">
        <v>247</v>
      </c>
      <c r="D5" s="9" t="s">
        <v>321</v>
      </c>
    </row>
    <row r="6" spans="1:4" x14ac:dyDescent="0.2">
      <c r="A6" s="9" t="s">
        <v>3</v>
      </c>
      <c r="B6" s="9" t="s">
        <v>6</v>
      </c>
      <c r="C6" s="9" t="s">
        <v>248</v>
      </c>
      <c r="D6" s="9" t="s">
        <v>321</v>
      </c>
    </row>
    <row r="7" spans="1:4" x14ac:dyDescent="0.2">
      <c r="A7" s="9" t="s">
        <v>3</v>
      </c>
      <c r="B7" s="9" t="s">
        <v>7</v>
      </c>
      <c r="C7" s="9" t="s">
        <v>249</v>
      </c>
      <c r="D7" s="9" t="s">
        <v>321</v>
      </c>
    </row>
    <row r="8" spans="1:4" x14ac:dyDescent="0.2">
      <c r="A8" s="9" t="s">
        <v>3</v>
      </c>
      <c r="B8" s="9" t="s">
        <v>7</v>
      </c>
      <c r="C8" s="9" t="s">
        <v>250</v>
      </c>
      <c r="D8" s="9" t="s">
        <v>321</v>
      </c>
    </row>
    <row r="9" spans="1:4" x14ac:dyDescent="0.2">
      <c r="A9" s="9" t="s">
        <v>3</v>
      </c>
      <c r="B9" s="9" t="s">
        <v>8</v>
      </c>
      <c r="C9" s="9" t="s">
        <v>251</v>
      </c>
      <c r="D9" s="9" t="s">
        <v>321</v>
      </c>
    </row>
    <row r="10" spans="1:4" x14ac:dyDescent="0.2">
      <c r="A10" s="9" t="s">
        <v>3</v>
      </c>
      <c r="B10" s="9" t="s">
        <v>8</v>
      </c>
      <c r="C10" s="9" t="s">
        <v>252</v>
      </c>
      <c r="D10" s="9" t="s">
        <v>321</v>
      </c>
    </row>
    <row r="11" spans="1:4" x14ac:dyDescent="0.2">
      <c r="A11" s="9" t="s">
        <v>3</v>
      </c>
      <c r="B11" s="9" t="s">
        <v>9</v>
      </c>
      <c r="C11" s="9" t="s">
        <v>253</v>
      </c>
      <c r="D11" s="9" t="s">
        <v>321</v>
      </c>
    </row>
    <row r="12" spans="1:4" x14ac:dyDescent="0.2">
      <c r="A12" s="9" t="s">
        <v>3</v>
      </c>
      <c r="B12" s="9" t="s">
        <v>10</v>
      </c>
      <c r="C12" s="9" t="s">
        <v>254</v>
      </c>
      <c r="D12" s="9" t="s">
        <v>321</v>
      </c>
    </row>
    <row r="13" spans="1:4" x14ac:dyDescent="0.2">
      <c r="A13" s="9" t="s">
        <v>3</v>
      </c>
      <c r="B13" s="9" t="s">
        <v>11</v>
      </c>
      <c r="C13" s="9" t="s">
        <v>255</v>
      </c>
      <c r="D13" s="9" t="s">
        <v>321</v>
      </c>
    </row>
    <row r="14" spans="1:4" x14ac:dyDescent="0.2">
      <c r="A14" s="9" t="s">
        <v>3</v>
      </c>
      <c r="B14" s="9" t="s">
        <v>12</v>
      </c>
      <c r="C14" s="9" t="s">
        <v>256</v>
      </c>
      <c r="D14" s="9" t="s">
        <v>321</v>
      </c>
    </row>
    <row r="15" spans="1:4" x14ac:dyDescent="0.2">
      <c r="A15" s="9" t="s">
        <v>3</v>
      </c>
      <c r="B15" s="9" t="s">
        <v>13</v>
      </c>
      <c r="C15" s="9" t="s">
        <v>257</v>
      </c>
      <c r="D15" s="9" t="s">
        <v>321</v>
      </c>
    </row>
    <row r="16" spans="1:4" x14ac:dyDescent="0.2">
      <c r="A16" s="9" t="s">
        <v>3</v>
      </c>
      <c r="B16" s="9" t="s">
        <v>14</v>
      </c>
      <c r="C16" s="10" t="s">
        <v>258</v>
      </c>
      <c r="D16" s="9" t="s">
        <v>259</v>
      </c>
    </row>
    <row r="17" spans="1:4" x14ac:dyDescent="0.2">
      <c r="A17" s="9" t="s">
        <v>3</v>
      </c>
      <c r="B17" s="9" t="s">
        <v>15</v>
      </c>
      <c r="C17" s="9" t="s">
        <v>260</v>
      </c>
      <c r="D17" s="9" t="s">
        <v>321</v>
      </c>
    </row>
    <row r="18" spans="1:4" x14ac:dyDescent="0.2">
      <c r="A18" s="9" t="s">
        <v>3</v>
      </c>
      <c r="B18" s="9" t="s">
        <v>16</v>
      </c>
      <c r="C18" s="9" t="s">
        <v>261</v>
      </c>
      <c r="D18" s="9" t="s">
        <v>321</v>
      </c>
    </row>
    <row r="19" spans="1:4" x14ac:dyDescent="0.2">
      <c r="A19" s="9" t="s">
        <v>3</v>
      </c>
      <c r="B19" s="9" t="s">
        <v>17</v>
      </c>
      <c r="C19" s="9" t="s">
        <v>262</v>
      </c>
      <c r="D19" s="9" t="s">
        <v>321</v>
      </c>
    </row>
    <row r="20" spans="1:4" x14ac:dyDescent="0.2">
      <c r="A20" s="9" t="s">
        <v>3</v>
      </c>
      <c r="B20" s="9" t="s">
        <v>18</v>
      </c>
      <c r="C20" s="9" t="s">
        <v>263</v>
      </c>
      <c r="D20" s="9" t="s">
        <v>321</v>
      </c>
    </row>
    <row r="21" spans="1:4" x14ac:dyDescent="0.2">
      <c r="A21" s="9" t="s">
        <v>3</v>
      </c>
      <c r="B21" s="9" t="s">
        <v>19</v>
      </c>
      <c r="C21" s="9" t="s">
        <v>264</v>
      </c>
      <c r="D21" s="9" t="s">
        <v>321</v>
      </c>
    </row>
    <row r="22" spans="1:4" x14ac:dyDescent="0.2">
      <c r="A22" s="9" t="s">
        <v>3</v>
      </c>
      <c r="B22" s="9" t="s">
        <v>20</v>
      </c>
      <c r="C22" s="10" t="s">
        <v>265</v>
      </c>
      <c r="D22" s="9" t="s">
        <v>321</v>
      </c>
    </row>
    <row r="23" spans="1:4" x14ac:dyDescent="0.2">
      <c r="A23" s="9" t="s">
        <v>3</v>
      </c>
      <c r="B23" s="9" t="s">
        <v>21</v>
      </c>
      <c r="C23" s="10" t="s">
        <v>266</v>
      </c>
      <c r="D23" s="9" t="s">
        <v>321</v>
      </c>
    </row>
    <row r="24" spans="1:4" x14ac:dyDescent="0.2">
      <c r="A24" s="9" t="s">
        <v>3</v>
      </c>
      <c r="B24" s="9" t="s">
        <v>22</v>
      </c>
      <c r="C24" s="10" t="s">
        <v>267</v>
      </c>
      <c r="D24" s="9" t="s">
        <v>321</v>
      </c>
    </row>
    <row r="25" spans="1:4" x14ac:dyDescent="0.2">
      <c r="A25" s="9" t="s">
        <v>3</v>
      </c>
      <c r="B25" s="9" t="s">
        <v>23</v>
      </c>
      <c r="C25" s="10" t="s">
        <v>268</v>
      </c>
      <c r="D25" s="9" t="s">
        <v>321</v>
      </c>
    </row>
    <row r="26" spans="1:4" x14ac:dyDescent="0.2">
      <c r="A26" s="9" t="s">
        <v>3</v>
      </c>
      <c r="B26" s="9" t="s">
        <v>24</v>
      </c>
      <c r="C26" s="10" t="s">
        <v>269</v>
      </c>
      <c r="D26" s="9" t="s">
        <v>321</v>
      </c>
    </row>
    <row r="27" spans="1:4" x14ac:dyDescent="0.2">
      <c r="A27" s="9" t="s">
        <v>3</v>
      </c>
      <c r="B27" s="9" t="s">
        <v>25</v>
      </c>
      <c r="C27" s="10" t="s">
        <v>270</v>
      </c>
      <c r="D27" s="9" t="s">
        <v>321</v>
      </c>
    </row>
    <row r="28" spans="1:4" x14ac:dyDescent="0.2">
      <c r="A28" s="9" t="s">
        <v>3</v>
      </c>
      <c r="B28" s="9" t="s">
        <v>26</v>
      </c>
      <c r="C28" s="9" t="s">
        <v>271</v>
      </c>
      <c r="D28" s="9" t="s">
        <v>259</v>
      </c>
    </row>
    <row r="29" spans="1:4" x14ac:dyDescent="0.2">
      <c r="A29" s="9" t="s">
        <v>3</v>
      </c>
      <c r="B29" s="10" t="s">
        <v>27</v>
      </c>
      <c r="C29" s="9" t="s">
        <v>272</v>
      </c>
      <c r="D29" s="9" t="s">
        <v>259</v>
      </c>
    </row>
    <row r="30" spans="1:4" x14ac:dyDescent="0.2">
      <c r="A30" s="9" t="s">
        <v>3</v>
      </c>
      <c r="B30" s="9" t="s">
        <v>28</v>
      </c>
      <c r="C30" s="10" t="s">
        <v>273</v>
      </c>
      <c r="D30" s="9" t="s">
        <v>321</v>
      </c>
    </row>
    <row r="31" spans="1:4" x14ac:dyDescent="0.2">
      <c r="A31" s="9" t="s">
        <v>3</v>
      </c>
      <c r="B31" s="9" t="s">
        <v>29</v>
      </c>
      <c r="C31" s="10" t="s">
        <v>274</v>
      </c>
      <c r="D31" s="9" t="s">
        <v>321</v>
      </c>
    </row>
    <row r="32" spans="1:4" x14ac:dyDescent="0.2">
      <c r="A32" s="9" t="s">
        <v>3</v>
      </c>
      <c r="B32" s="9" t="s">
        <v>30</v>
      </c>
      <c r="C32" s="10" t="s">
        <v>275</v>
      </c>
      <c r="D32" s="9" t="s">
        <v>321</v>
      </c>
    </row>
    <row r="33" spans="1:4" x14ac:dyDescent="0.2">
      <c r="A33" s="9" t="s">
        <v>3</v>
      </c>
      <c r="B33" s="9" t="s">
        <v>31</v>
      </c>
      <c r="C33" s="10" t="s">
        <v>276</v>
      </c>
      <c r="D33" s="9" t="s">
        <v>321</v>
      </c>
    </row>
    <row r="34" spans="1:4" x14ac:dyDescent="0.2">
      <c r="A34" s="9" t="s">
        <v>3</v>
      </c>
      <c r="B34" s="9" t="s">
        <v>32</v>
      </c>
      <c r="C34" s="10" t="s">
        <v>277</v>
      </c>
      <c r="D34" s="9" t="s">
        <v>321</v>
      </c>
    </row>
    <row r="35" spans="1:4" x14ac:dyDescent="0.2">
      <c r="A35" s="9" t="s">
        <v>3</v>
      </c>
      <c r="B35" s="9" t="s">
        <v>33</v>
      </c>
      <c r="C35" s="10" t="s">
        <v>278</v>
      </c>
      <c r="D35" s="9" t="s">
        <v>321</v>
      </c>
    </row>
    <row r="36" spans="1:4" x14ac:dyDescent="0.2">
      <c r="A36" s="9" t="s">
        <v>3</v>
      </c>
      <c r="B36" s="9" t="s">
        <v>34</v>
      </c>
      <c r="C36" s="10" t="s">
        <v>279</v>
      </c>
      <c r="D36" s="9" t="s">
        <v>321</v>
      </c>
    </row>
    <row r="37" spans="1:4" x14ac:dyDescent="0.2">
      <c r="A37" s="9" t="s">
        <v>3</v>
      </c>
      <c r="B37" s="9" t="s">
        <v>35</v>
      </c>
      <c r="C37" s="10" t="s">
        <v>280</v>
      </c>
      <c r="D37" s="9" t="s">
        <v>321</v>
      </c>
    </row>
    <row r="38" spans="1:4" x14ac:dyDescent="0.2">
      <c r="A38" s="9" t="s">
        <v>3</v>
      </c>
      <c r="B38" s="9" t="s">
        <v>36</v>
      </c>
      <c r="C38" s="10" t="s">
        <v>281</v>
      </c>
      <c r="D38" s="9" t="s">
        <v>321</v>
      </c>
    </row>
    <row r="39" spans="1:4" x14ac:dyDescent="0.2">
      <c r="A39" s="9" t="s">
        <v>3</v>
      </c>
      <c r="B39" s="9" t="s">
        <v>282</v>
      </c>
      <c r="C39" s="9" t="s">
        <v>283</v>
      </c>
      <c r="D39" s="9" t="s">
        <v>321</v>
      </c>
    </row>
    <row r="40" spans="1:4" x14ac:dyDescent="0.2">
      <c r="A40" s="9" t="s">
        <v>3</v>
      </c>
      <c r="B40" s="9" t="s">
        <v>284</v>
      </c>
      <c r="C40" s="9" t="s">
        <v>285</v>
      </c>
      <c r="D40" s="9" t="s">
        <v>321</v>
      </c>
    </row>
    <row r="41" spans="1:4" x14ac:dyDescent="0.2">
      <c r="A41" s="9" t="s">
        <v>3</v>
      </c>
      <c r="B41" s="9" t="s">
        <v>2</v>
      </c>
      <c r="C41" s="10" t="s">
        <v>286</v>
      </c>
      <c r="D41" s="9" t="s">
        <v>287</v>
      </c>
    </row>
    <row r="42" spans="1:4" x14ac:dyDescent="0.2">
      <c r="A42" s="9" t="s">
        <v>3</v>
      </c>
      <c r="B42" s="9" t="s">
        <v>5</v>
      </c>
      <c r="C42" s="9" t="s">
        <v>288</v>
      </c>
      <c r="D42" s="9" t="s">
        <v>287</v>
      </c>
    </row>
    <row r="43" spans="1:4" x14ac:dyDescent="0.2">
      <c r="A43" s="9" t="s">
        <v>3</v>
      </c>
      <c r="B43" s="9" t="s">
        <v>6</v>
      </c>
      <c r="C43" s="10" t="s">
        <v>289</v>
      </c>
      <c r="D43" s="9" t="s">
        <v>287</v>
      </c>
    </row>
    <row r="44" spans="1:4" x14ac:dyDescent="0.2">
      <c r="A44" s="9" t="s">
        <v>3</v>
      </c>
      <c r="B44" s="9" t="s">
        <v>7</v>
      </c>
      <c r="C44" s="10" t="s">
        <v>290</v>
      </c>
      <c r="D44" s="9" t="s">
        <v>287</v>
      </c>
    </row>
    <row r="45" spans="1:4" x14ac:dyDescent="0.2">
      <c r="A45" s="9" t="s">
        <v>3</v>
      </c>
      <c r="B45" s="9" t="s">
        <v>8</v>
      </c>
      <c r="C45" s="10" t="s">
        <v>291</v>
      </c>
      <c r="D45" s="9" t="s">
        <v>287</v>
      </c>
    </row>
    <row r="46" spans="1:4" x14ac:dyDescent="0.2">
      <c r="A46" s="9" t="s">
        <v>3</v>
      </c>
      <c r="B46" s="9" t="s">
        <v>37</v>
      </c>
      <c r="C46" s="9" t="s">
        <v>292</v>
      </c>
      <c r="D46" s="9" t="s">
        <v>287</v>
      </c>
    </row>
    <row r="47" spans="1:4" x14ac:dyDescent="0.2">
      <c r="A47" s="9" t="s">
        <v>3</v>
      </c>
      <c r="B47" s="9" t="s">
        <v>9</v>
      </c>
      <c r="C47" s="10" t="s">
        <v>293</v>
      </c>
      <c r="D47" s="9" t="s">
        <v>287</v>
      </c>
    </row>
    <row r="48" spans="1:4" x14ac:dyDescent="0.2">
      <c r="A48" s="9" t="s">
        <v>3</v>
      </c>
      <c r="B48" s="9" t="s">
        <v>38</v>
      </c>
      <c r="C48" s="10" t="s">
        <v>294</v>
      </c>
      <c r="D48" s="9" t="s">
        <v>287</v>
      </c>
    </row>
    <row r="49" spans="1:4" x14ac:dyDescent="0.2">
      <c r="A49" s="9" t="s">
        <v>3</v>
      </c>
      <c r="B49" s="9" t="s">
        <v>16</v>
      </c>
      <c r="C49" s="9" t="s">
        <v>295</v>
      </c>
      <c r="D49" s="9" t="s">
        <v>287</v>
      </c>
    </row>
    <row r="50" spans="1:4" x14ac:dyDescent="0.2">
      <c r="A50" s="9" t="s">
        <v>3</v>
      </c>
      <c r="B50" s="9" t="s">
        <v>18</v>
      </c>
      <c r="C50" s="9" t="s">
        <v>296</v>
      </c>
      <c r="D50" s="9" t="s">
        <v>287</v>
      </c>
    </row>
    <row r="51" spans="1:4" x14ac:dyDescent="0.2">
      <c r="A51" s="9" t="s">
        <v>3</v>
      </c>
      <c r="B51" s="9" t="s">
        <v>20</v>
      </c>
      <c r="C51" s="10" t="s">
        <v>297</v>
      </c>
      <c r="D51" s="9" t="s">
        <v>287</v>
      </c>
    </row>
    <row r="52" spans="1:4" x14ac:dyDescent="0.2">
      <c r="A52" s="9" t="s">
        <v>3</v>
      </c>
      <c r="B52" s="9" t="s">
        <v>21</v>
      </c>
      <c r="C52" s="9" t="s">
        <v>298</v>
      </c>
      <c r="D52" s="9" t="s">
        <v>287</v>
      </c>
    </row>
    <row r="53" spans="1:4" x14ac:dyDescent="0.2">
      <c r="A53" s="9" t="s">
        <v>3</v>
      </c>
      <c r="B53" s="9" t="s">
        <v>22</v>
      </c>
      <c r="C53" s="10" t="s">
        <v>299</v>
      </c>
      <c r="D53" s="9" t="s">
        <v>287</v>
      </c>
    </row>
    <row r="54" spans="1:4" x14ac:dyDescent="0.2">
      <c r="A54" s="9" t="s">
        <v>3</v>
      </c>
      <c r="B54" s="9" t="s">
        <v>39</v>
      </c>
      <c r="C54" s="10" t="s">
        <v>300</v>
      </c>
      <c r="D54" s="9" t="s">
        <v>287</v>
      </c>
    </row>
    <row r="55" spans="1:4" x14ac:dyDescent="0.2">
      <c r="A55" s="9" t="s">
        <v>3</v>
      </c>
      <c r="B55" s="9" t="s">
        <v>24</v>
      </c>
      <c r="C55" s="10" t="s">
        <v>301</v>
      </c>
      <c r="D55" s="9" t="s">
        <v>287</v>
      </c>
    </row>
    <row r="56" spans="1:4" x14ac:dyDescent="0.2">
      <c r="A56" s="9" t="s">
        <v>3</v>
      </c>
      <c r="B56" s="9" t="s">
        <v>32</v>
      </c>
      <c r="C56" s="10" t="s">
        <v>302</v>
      </c>
      <c r="D56" s="9" t="s">
        <v>287</v>
      </c>
    </row>
    <row r="57" spans="1:4" x14ac:dyDescent="0.2">
      <c r="A57" s="9" t="s">
        <v>3</v>
      </c>
      <c r="B57" s="9" t="s">
        <v>2</v>
      </c>
      <c r="C57" s="9" t="s">
        <v>2</v>
      </c>
      <c r="D57" s="11" t="s">
        <v>367</v>
      </c>
    </row>
    <row r="58" spans="1:4" x14ac:dyDescent="0.2">
      <c r="A58" s="9" t="s">
        <v>3</v>
      </c>
      <c r="B58" s="9" t="s">
        <v>18</v>
      </c>
      <c r="C58" s="10" t="s">
        <v>18</v>
      </c>
      <c r="D58" s="11" t="s">
        <v>367</v>
      </c>
    </row>
    <row r="59" spans="1:4" x14ac:dyDescent="0.2">
      <c r="A59" s="9" t="s">
        <v>3</v>
      </c>
      <c r="B59" s="9" t="s">
        <v>5</v>
      </c>
      <c r="C59" s="10" t="s">
        <v>5</v>
      </c>
      <c r="D59" s="11" t="s">
        <v>367</v>
      </c>
    </row>
    <row r="60" spans="1:4" x14ac:dyDescent="0.2">
      <c r="A60" s="9" t="s">
        <v>3</v>
      </c>
      <c r="B60" s="9" t="s">
        <v>16</v>
      </c>
      <c r="C60" s="10" t="s">
        <v>16</v>
      </c>
      <c r="D60" s="11" t="s">
        <v>367</v>
      </c>
    </row>
    <row r="61" spans="1:4" x14ac:dyDescent="0.2">
      <c r="A61" s="9" t="s">
        <v>3</v>
      </c>
      <c r="B61" s="9" t="s">
        <v>8</v>
      </c>
      <c r="C61" s="10" t="s">
        <v>303</v>
      </c>
      <c r="D61" s="11" t="s">
        <v>367</v>
      </c>
    </row>
    <row r="62" spans="1:4" x14ac:dyDescent="0.2">
      <c r="A62" s="9" t="s">
        <v>3</v>
      </c>
      <c r="B62" s="9" t="s">
        <v>6</v>
      </c>
      <c r="C62" s="10" t="s">
        <v>304</v>
      </c>
      <c r="D62" s="11" t="s">
        <v>367</v>
      </c>
    </row>
    <row r="63" spans="1:4" x14ac:dyDescent="0.2">
      <c r="A63" s="9" t="s">
        <v>3</v>
      </c>
      <c r="B63" s="9" t="s">
        <v>9</v>
      </c>
      <c r="C63" s="10" t="s">
        <v>305</v>
      </c>
      <c r="D63" s="11" t="s">
        <v>367</v>
      </c>
    </row>
    <row r="64" spans="1:4" x14ac:dyDescent="0.2">
      <c r="A64" s="9" t="s">
        <v>3</v>
      </c>
      <c r="B64" s="9" t="s">
        <v>7</v>
      </c>
      <c r="C64" s="10" t="s">
        <v>306</v>
      </c>
      <c r="D64" s="11" t="s">
        <v>367</v>
      </c>
    </row>
    <row r="65" spans="1:4" x14ac:dyDescent="0.2">
      <c r="A65" s="9" t="s">
        <v>3</v>
      </c>
      <c r="B65" s="9" t="s">
        <v>20</v>
      </c>
      <c r="C65" s="10" t="s">
        <v>307</v>
      </c>
      <c r="D65" s="11" t="s">
        <v>367</v>
      </c>
    </row>
    <row r="66" spans="1:4" x14ac:dyDescent="0.2">
      <c r="A66" s="9" t="s">
        <v>3</v>
      </c>
      <c r="B66" s="9" t="s">
        <v>21</v>
      </c>
      <c r="C66" s="10" t="s">
        <v>308</v>
      </c>
      <c r="D66" s="11" t="s">
        <v>367</v>
      </c>
    </row>
    <row r="67" spans="1:4" x14ac:dyDescent="0.2">
      <c r="A67" s="9" t="s">
        <v>3</v>
      </c>
      <c r="B67" s="9" t="s">
        <v>2</v>
      </c>
      <c r="C67" s="10" t="s">
        <v>309</v>
      </c>
      <c r="D67" s="11" t="s">
        <v>367</v>
      </c>
    </row>
    <row r="68" spans="1:4" x14ac:dyDescent="0.2">
      <c r="A68" s="9" t="s">
        <v>3</v>
      </c>
      <c r="B68" s="9" t="s">
        <v>34</v>
      </c>
      <c r="C68" s="10" t="s">
        <v>310</v>
      </c>
      <c r="D68" s="9" t="s">
        <v>287</v>
      </c>
    </row>
    <row r="69" spans="1:4" x14ac:dyDescent="0.2">
      <c r="A69" s="9" t="s">
        <v>3</v>
      </c>
      <c r="B69" s="9" t="s">
        <v>35</v>
      </c>
      <c r="C69" s="10" t="s">
        <v>311</v>
      </c>
      <c r="D69" s="9" t="s">
        <v>287</v>
      </c>
    </row>
    <row r="70" spans="1:4" x14ac:dyDescent="0.2">
      <c r="A70" s="9" t="s">
        <v>3</v>
      </c>
      <c r="B70" s="9" t="s">
        <v>36</v>
      </c>
      <c r="C70" s="10" t="s">
        <v>312</v>
      </c>
      <c r="D70" s="9" t="s">
        <v>287</v>
      </c>
    </row>
    <row r="71" spans="1:4" x14ac:dyDescent="0.2">
      <c r="A71" s="9" t="s">
        <v>3</v>
      </c>
      <c r="B71" s="9" t="s">
        <v>40</v>
      </c>
      <c r="C71" s="9" t="s">
        <v>313</v>
      </c>
      <c r="D71" s="9" t="s">
        <v>287</v>
      </c>
    </row>
    <row r="72" spans="1:4" x14ac:dyDescent="0.2">
      <c r="A72" s="9" t="s">
        <v>3</v>
      </c>
      <c r="B72" s="9" t="s">
        <v>41</v>
      </c>
      <c r="C72" s="9" t="s">
        <v>314</v>
      </c>
      <c r="D72" s="9" t="s">
        <v>287</v>
      </c>
    </row>
    <row r="73" spans="1:4" x14ac:dyDescent="0.2">
      <c r="A73" s="9" t="s">
        <v>3</v>
      </c>
      <c r="B73" s="9" t="s">
        <v>42</v>
      </c>
      <c r="C73" s="9" t="s">
        <v>315</v>
      </c>
      <c r="D73" s="9" t="s">
        <v>287</v>
      </c>
    </row>
    <row r="74" spans="1:4" x14ac:dyDescent="0.2">
      <c r="A74" s="9" t="s">
        <v>3</v>
      </c>
      <c r="B74" s="9" t="s">
        <v>43</v>
      </c>
      <c r="C74" s="9" t="s">
        <v>316</v>
      </c>
      <c r="D74" s="9" t="s">
        <v>287</v>
      </c>
    </row>
    <row r="75" spans="1:4" x14ac:dyDescent="0.2">
      <c r="A75" s="9" t="s">
        <v>3</v>
      </c>
      <c r="B75" s="9" t="s">
        <v>44</v>
      </c>
      <c r="C75" s="9" t="s">
        <v>317</v>
      </c>
      <c r="D75" s="9" t="s">
        <v>287</v>
      </c>
    </row>
    <row r="76" spans="1:4" x14ac:dyDescent="0.2">
      <c r="A76" s="9" t="s">
        <v>3</v>
      </c>
      <c r="B76" s="9" t="s">
        <v>45</v>
      </c>
      <c r="C76" s="9" t="s">
        <v>318</v>
      </c>
      <c r="D76" s="9" t="s">
        <v>287</v>
      </c>
    </row>
    <row r="77" spans="1:4" x14ac:dyDescent="0.2">
      <c r="A77" s="9" t="s">
        <v>3</v>
      </c>
      <c r="B77" s="9" t="s">
        <v>35</v>
      </c>
      <c r="C77" s="9" t="s">
        <v>319</v>
      </c>
      <c r="D77" s="9" t="s">
        <v>381</v>
      </c>
    </row>
    <row r="78" spans="1:4" x14ac:dyDescent="0.2">
      <c r="A78" s="9" t="s">
        <v>3</v>
      </c>
      <c r="B78" s="9" t="s">
        <v>18</v>
      </c>
      <c r="C78" s="9" t="s">
        <v>320</v>
      </c>
      <c r="D78" s="9" t="s">
        <v>381</v>
      </c>
    </row>
    <row r="79" spans="1:4" x14ac:dyDescent="0.2">
      <c r="A79" s="9" t="s">
        <v>3</v>
      </c>
      <c r="B79" s="9" t="s">
        <v>34</v>
      </c>
      <c r="C79" s="9" t="s">
        <v>382</v>
      </c>
      <c r="D79" s="9" t="s">
        <v>381</v>
      </c>
    </row>
    <row r="80" spans="1:4" x14ac:dyDescent="0.2">
      <c r="A80" s="9" t="s">
        <v>3</v>
      </c>
      <c r="B80" s="9" t="s">
        <v>14</v>
      </c>
      <c r="C80" s="9" t="s">
        <v>383</v>
      </c>
      <c r="D80" s="9" t="s">
        <v>381</v>
      </c>
    </row>
    <row r="81" spans="1:4" x14ac:dyDescent="0.2">
      <c r="A81" s="9" t="s">
        <v>3</v>
      </c>
      <c r="B81" s="9" t="s">
        <v>25</v>
      </c>
      <c r="C81" s="9" t="s">
        <v>384</v>
      </c>
      <c r="D81" s="9" t="s">
        <v>381</v>
      </c>
    </row>
    <row r="82" spans="1:4" x14ac:dyDescent="0.2">
      <c r="A82" s="9" t="s">
        <v>365</v>
      </c>
      <c r="B82" s="9" t="s">
        <v>46</v>
      </c>
      <c r="C82" s="10" t="s">
        <v>322</v>
      </c>
      <c r="D82" s="9" t="s">
        <v>321</v>
      </c>
    </row>
    <row r="83" spans="1:4" x14ac:dyDescent="0.2">
      <c r="A83" s="9" t="s">
        <v>365</v>
      </c>
      <c r="B83" s="9" t="s">
        <v>48</v>
      </c>
      <c r="C83" s="10" t="s">
        <v>323</v>
      </c>
      <c r="D83" s="9" t="s">
        <v>321</v>
      </c>
    </row>
    <row r="84" spans="1:4" x14ac:dyDescent="0.2">
      <c r="A84" s="9" t="s">
        <v>365</v>
      </c>
      <c r="B84" s="9" t="s">
        <v>49</v>
      </c>
      <c r="C84" s="10" t="s">
        <v>324</v>
      </c>
      <c r="D84" s="9" t="s">
        <v>321</v>
      </c>
    </row>
    <row r="85" spans="1:4" x14ac:dyDescent="0.2">
      <c r="A85" s="9" t="s">
        <v>365</v>
      </c>
      <c r="B85" s="9" t="s">
        <v>50</v>
      </c>
      <c r="C85" s="9" t="s">
        <v>325</v>
      </c>
      <c r="D85" s="9" t="s">
        <v>259</v>
      </c>
    </row>
    <row r="86" spans="1:4" x14ac:dyDescent="0.2">
      <c r="A86" s="9" t="s">
        <v>365</v>
      </c>
      <c r="B86" s="9" t="s">
        <v>50</v>
      </c>
      <c r="C86" s="9" t="s">
        <v>326</v>
      </c>
      <c r="D86" s="9" t="s">
        <v>259</v>
      </c>
    </row>
    <row r="87" spans="1:4" x14ac:dyDescent="0.2">
      <c r="A87" s="9" t="s">
        <v>365</v>
      </c>
      <c r="B87" s="9" t="s">
        <v>51</v>
      </c>
      <c r="C87" s="9" t="s">
        <v>327</v>
      </c>
      <c r="D87" s="9" t="s">
        <v>259</v>
      </c>
    </row>
    <row r="88" spans="1:4" x14ac:dyDescent="0.2">
      <c r="A88" s="9" t="s">
        <v>365</v>
      </c>
      <c r="B88" s="9" t="s">
        <v>52</v>
      </c>
      <c r="C88" s="9" t="s">
        <v>328</v>
      </c>
      <c r="D88" s="9" t="s">
        <v>259</v>
      </c>
    </row>
    <row r="89" spans="1:4" x14ac:dyDescent="0.2">
      <c r="A89" s="9" t="s">
        <v>365</v>
      </c>
      <c r="B89" s="9" t="s">
        <v>53</v>
      </c>
      <c r="C89" s="10" t="s">
        <v>329</v>
      </c>
      <c r="D89" s="9" t="s">
        <v>321</v>
      </c>
    </row>
    <row r="90" spans="1:4" x14ac:dyDescent="0.2">
      <c r="A90" s="9" t="s">
        <v>365</v>
      </c>
      <c r="B90" s="9" t="s">
        <v>57</v>
      </c>
      <c r="C90" s="9" t="s">
        <v>330</v>
      </c>
      <c r="D90" s="9" t="s">
        <v>321</v>
      </c>
    </row>
    <row r="91" spans="1:4" x14ac:dyDescent="0.2">
      <c r="A91" s="9" t="s">
        <v>365</v>
      </c>
      <c r="B91" s="9" t="s">
        <v>58</v>
      </c>
      <c r="C91" s="9" t="s">
        <v>331</v>
      </c>
      <c r="D91" s="9" t="s">
        <v>321</v>
      </c>
    </row>
    <row r="92" spans="1:4" x14ac:dyDescent="0.2">
      <c r="A92" s="9" t="s">
        <v>365</v>
      </c>
      <c r="B92" s="9" t="s">
        <v>59</v>
      </c>
      <c r="C92" s="10" t="s">
        <v>332</v>
      </c>
      <c r="D92" s="9" t="s">
        <v>321</v>
      </c>
    </row>
    <row r="93" spans="1:4" x14ac:dyDescent="0.2">
      <c r="A93" s="9" t="s">
        <v>365</v>
      </c>
      <c r="B93" s="9" t="s">
        <v>61</v>
      </c>
      <c r="C93" s="9" t="s">
        <v>333</v>
      </c>
      <c r="D93" s="9" t="s">
        <v>321</v>
      </c>
    </row>
    <row r="94" spans="1:4" x14ac:dyDescent="0.2">
      <c r="A94" s="9" t="s">
        <v>365</v>
      </c>
      <c r="B94" s="9" t="s">
        <v>64</v>
      </c>
      <c r="C94" s="9" t="s">
        <v>334</v>
      </c>
      <c r="D94" s="9" t="s">
        <v>321</v>
      </c>
    </row>
    <row r="95" spans="1:4" x14ac:dyDescent="0.2">
      <c r="A95" s="9" t="s">
        <v>365</v>
      </c>
      <c r="B95" s="9" t="s">
        <v>66</v>
      </c>
      <c r="C95" s="9" t="s">
        <v>335</v>
      </c>
      <c r="D95" s="9" t="s">
        <v>321</v>
      </c>
    </row>
    <row r="96" spans="1:4" x14ac:dyDescent="0.2">
      <c r="A96" s="9" t="s">
        <v>365</v>
      </c>
      <c r="B96" s="9" t="s">
        <v>62</v>
      </c>
      <c r="C96" s="9" t="s">
        <v>336</v>
      </c>
      <c r="D96" s="9" t="s">
        <v>321</v>
      </c>
    </row>
    <row r="97" spans="1:6" x14ac:dyDescent="0.2">
      <c r="A97" s="9" t="s">
        <v>365</v>
      </c>
      <c r="B97" s="9" t="s">
        <v>60</v>
      </c>
      <c r="C97" s="9" t="s">
        <v>337</v>
      </c>
      <c r="D97" s="9" t="s">
        <v>321</v>
      </c>
    </row>
    <row r="98" spans="1:6" x14ac:dyDescent="0.2">
      <c r="A98" s="9" t="s">
        <v>365</v>
      </c>
      <c r="B98" s="9" t="s">
        <v>63</v>
      </c>
      <c r="C98" s="9" t="s">
        <v>338</v>
      </c>
      <c r="D98" s="9" t="s">
        <v>321</v>
      </c>
    </row>
    <row r="99" spans="1:6" x14ac:dyDescent="0.2">
      <c r="A99" s="9" t="s">
        <v>365</v>
      </c>
      <c r="B99" s="9" t="s">
        <v>63</v>
      </c>
      <c r="C99" s="9" t="s">
        <v>339</v>
      </c>
      <c r="D99" s="9" t="s">
        <v>321</v>
      </c>
    </row>
    <row r="100" spans="1:6" x14ac:dyDescent="0.2">
      <c r="A100" s="9" t="s">
        <v>365</v>
      </c>
      <c r="B100" s="9" t="s">
        <v>54</v>
      </c>
      <c r="C100" s="9" t="s">
        <v>340</v>
      </c>
      <c r="D100" s="9" t="s">
        <v>364</v>
      </c>
    </row>
    <row r="101" spans="1:6" x14ac:dyDescent="0.2">
      <c r="A101" s="9" t="s">
        <v>365</v>
      </c>
      <c r="B101" s="9" t="s">
        <v>54</v>
      </c>
      <c r="C101" s="9" t="s">
        <v>341</v>
      </c>
      <c r="D101" s="9" t="s">
        <v>364</v>
      </c>
    </row>
    <row r="102" spans="1:6" x14ac:dyDescent="0.2">
      <c r="A102" s="9" t="s">
        <v>365</v>
      </c>
      <c r="B102" s="9" t="s">
        <v>55</v>
      </c>
      <c r="C102" s="9" t="s">
        <v>342</v>
      </c>
      <c r="D102" s="9" t="s">
        <v>364</v>
      </c>
    </row>
    <row r="103" spans="1:6" x14ac:dyDescent="0.2">
      <c r="A103" s="9" t="s">
        <v>365</v>
      </c>
      <c r="B103" s="9" t="s">
        <v>56</v>
      </c>
      <c r="C103" s="9" t="s">
        <v>343</v>
      </c>
      <c r="D103" s="9" t="s">
        <v>364</v>
      </c>
    </row>
    <row r="104" spans="1:6" x14ac:dyDescent="0.2">
      <c r="A104" s="9" t="s">
        <v>365</v>
      </c>
      <c r="B104" s="9" t="s">
        <v>59</v>
      </c>
      <c r="C104" s="9" t="s">
        <v>344</v>
      </c>
      <c r="D104" s="9" t="s">
        <v>364</v>
      </c>
    </row>
    <row r="105" spans="1:6" x14ac:dyDescent="0.2">
      <c r="A105" s="9" t="s">
        <v>365</v>
      </c>
      <c r="B105" s="9" t="s">
        <v>63</v>
      </c>
      <c r="C105" s="9" t="s">
        <v>345</v>
      </c>
      <c r="D105" s="9" t="s">
        <v>364</v>
      </c>
    </row>
    <row r="106" spans="1:6" x14ac:dyDescent="0.2">
      <c r="A106" s="9" t="s">
        <v>365</v>
      </c>
      <c r="B106" s="9" t="s">
        <v>63</v>
      </c>
      <c r="C106" s="9" t="s">
        <v>346</v>
      </c>
      <c r="D106" s="9" t="s">
        <v>364</v>
      </c>
    </row>
    <row r="107" spans="1:6" x14ac:dyDescent="0.2">
      <c r="A107" s="9" t="s">
        <v>365</v>
      </c>
      <c r="B107" s="9" t="s">
        <v>63</v>
      </c>
      <c r="C107" s="9" t="s">
        <v>347</v>
      </c>
      <c r="D107" s="9" t="s">
        <v>364</v>
      </c>
    </row>
    <row r="108" spans="1:6" x14ac:dyDescent="0.2">
      <c r="A108" s="9" t="s">
        <v>365</v>
      </c>
      <c r="B108" s="9" t="s">
        <v>63</v>
      </c>
      <c r="C108" s="9" t="s">
        <v>348</v>
      </c>
      <c r="D108" s="9" t="s">
        <v>364</v>
      </c>
    </row>
    <row r="109" spans="1:6" x14ac:dyDescent="0.2">
      <c r="A109" s="9" t="s">
        <v>365</v>
      </c>
      <c r="B109" s="9" t="s">
        <v>64</v>
      </c>
      <c r="C109" s="9" t="s">
        <v>349</v>
      </c>
      <c r="D109" s="9" t="s">
        <v>364</v>
      </c>
    </row>
    <row r="110" spans="1:6" x14ac:dyDescent="0.2">
      <c r="A110" s="9" t="s">
        <v>365</v>
      </c>
      <c r="B110" s="9" t="s">
        <v>368</v>
      </c>
      <c r="C110" s="9" t="s">
        <v>374</v>
      </c>
      <c r="D110" s="9" t="s">
        <v>364</v>
      </c>
      <c r="E110" s="12"/>
      <c r="F110" s="13"/>
    </row>
    <row r="111" spans="1:6" x14ac:dyDescent="0.2">
      <c r="A111" s="9" t="s">
        <v>365</v>
      </c>
      <c r="B111" s="9" t="s">
        <v>63</v>
      </c>
      <c r="C111" s="9" t="s">
        <v>350</v>
      </c>
      <c r="D111" s="9" t="s">
        <v>287</v>
      </c>
      <c r="E111" s="12"/>
    </row>
    <row r="112" spans="1:6" x14ac:dyDescent="0.2">
      <c r="A112" s="9" t="s">
        <v>365</v>
      </c>
      <c r="B112" s="9" t="s">
        <v>63</v>
      </c>
      <c r="C112" s="9" t="s">
        <v>351</v>
      </c>
      <c r="D112" s="9" t="s">
        <v>287</v>
      </c>
      <c r="E112" s="12"/>
    </row>
    <row r="113" spans="1:5" x14ac:dyDescent="0.2">
      <c r="A113" s="9" t="s">
        <v>365</v>
      </c>
      <c r="B113" s="9" t="s">
        <v>63</v>
      </c>
      <c r="C113" s="9" t="s">
        <v>352</v>
      </c>
      <c r="D113" s="9" t="s">
        <v>287</v>
      </c>
      <c r="E113" s="12"/>
    </row>
    <row r="114" spans="1:5" x14ac:dyDescent="0.2">
      <c r="A114" s="9" t="s">
        <v>365</v>
      </c>
      <c r="B114" s="9" t="s">
        <v>63</v>
      </c>
      <c r="C114" s="9" t="s">
        <v>353</v>
      </c>
      <c r="D114" s="9" t="s">
        <v>287</v>
      </c>
      <c r="E114" s="12"/>
    </row>
    <row r="115" spans="1:5" x14ac:dyDescent="0.2">
      <c r="A115" s="9" t="s">
        <v>365</v>
      </c>
      <c r="B115" s="9" t="s">
        <v>370</v>
      </c>
      <c r="C115" s="9" t="s">
        <v>372</v>
      </c>
      <c r="D115" s="9" t="s">
        <v>287</v>
      </c>
      <c r="E115" s="12"/>
    </row>
    <row r="116" spans="1:5" x14ac:dyDescent="0.2">
      <c r="A116" s="9" t="s">
        <v>365</v>
      </c>
      <c r="B116" s="13" t="s">
        <v>371</v>
      </c>
      <c r="C116" s="9" t="s">
        <v>377</v>
      </c>
      <c r="D116" s="9" t="s">
        <v>287</v>
      </c>
      <c r="E116" s="12"/>
    </row>
    <row r="117" spans="1:5" x14ac:dyDescent="0.2">
      <c r="A117" s="9" t="s">
        <v>365</v>
      </c>
      <c r="B117" s="9" t="s">
        <v>62</v>
      </c>
      <c r="C117" s="9" t="s">
        <v>354</v>
      </c>
      <c r="D117" s="11" t="s">
        <v>367</v>
      </c>
      <c r="E117" s="12"/>
    </row>
    <row r="118" spans="1:5" x14ac:dyDescent="0.2">
      <c r="A118" s="9" t="s">
        <v>365</v>
      </c>
      <c r="B118" s="9" t="s">
        <v>62</v>
      </c>
      <c r="C118" s="9" t="s">
        <v>355</v>
      </c>
      <c r="D118" s="11" t="s">
        <v>367</v>
      </c>
      <c r="E118" s="12"/>
    </row>
    <row r="119" spans="1:5" x14ac:dyDescent="0.2">
      <c r="A119" s="9" t="s">
        <v>365</v>
      </c>
      <c r="B119" s="13" t="s">
        <v>369</v>
      </c>
      <c r="C119" s="9" t="s">
        <v>376</v>
      </c>
      <c r="D119" s="11" t="s">
        <v>367</v>
      </c>
      <c r="E119" s="12"/>
    </row>
    <row r="120" spans="1:5" x14ac:dyDescent="0.2">
      <c r="A120" s="9" t="s">
        <v>365</v>
      </c>
      <c r="B120" s="9" t="s">
        <v>368</v>
      </c>
      <c r="C120" s="9" t="s">
        <v>375</v>
      </c>
      <c r="D120" s="11" t="s">
        <v>367</v>
      </c>
      <c r="E120" s="12"/>
    </row>
    <row r="121" spans="1:5" x14ac:dyDescent="0.2">
      <c r="A121" s="9" t="s">
        <v>365</v>
      </c>
      <c r="B121" s="9" t="s">
        <v>370</v>
      </c>
      <c r="C121" s="9" t="s">
        <v>373</v>
      </c>
      <c r="D121" s="11" t="s">
        <v>367</v>
      </c>
      <c r="E121" s="12"/>
    </row>
    <row r="122" spans="1:5" x14ac:dyDescent="0.2">
      <c r="A122" s="9" t="s">
        <v>365</v>
      </c>
      <c r="B122" s="13" t="s">
        <v>371</v>
      </c>
      <c r="C122" s="9" t="s">
        <v>378</v>
      </c>
      <c r="D122" s="11" t="s">
        <v>367</v>
      </c>
      <c r="E122" s="12"/>
    </row>
    <row r="123" spans="1:5" x14ac:dyDescent="0.2">
      <c r="A123" s="9" t="s">
        <v>365</v>
      </c>
      <c r="B123" s="9" t="s">
        <v>63</v>
      </c>
      <c r="C123" s="9" t="s">
        <v>356</v>
      </c>
      <c r="D123" s="11" t="s">
        <v>367</v>
      </c>
    </row>
    <row r="124" spans="1:5" x14ac:dyDescent="0.2">
      <c r="A124" s="9" t="s">
        <v>365</v>
      </c>
      <c r="B124" s="9" t="s">
        <v>63</v>
      </c>
      <c r="C124" s="9" t="s">
        <v>357</v>
      </c>
      <c r="D124" s="11" t="s">
        <v>367</v>
      </c>
    </row>
    <row r="125" spans="1:5" x14ac:dyDescent="0.2">
      <c r="A125" s="9" t="s">
        <v>365</v>
      </c>
      <c r="B125" s="9" t="s">
        <v>63</v>
      </c>
      <c r="C125" s="9" t="s">
        <v>358</v>
      </c>
      <c r="D125" s="11" t="s">
        <v>367</v>
      </c>
    </row>
    <row r="126" spans="1:5" x14ac:dyDescent="0.2">
      <c r="A126" s="9" t="s">
        <v>365</v>
      </c>
      <c r="B126" s="9" t="s">
        <v>63</v>
      </c>
      <c r="C126" s="9" t="s">
        <v>359</v>
      </c>
      <c r="D126" s="11" t="s">
        <v>367</v>
      </c>
    </row>
    <row r="127" spans="1:5" x14ac:dyDescent="0.2">
      <c r="A127" s="9" t="s">
        <v>365</v>
      </c>
      <c r="B127" s="9" t="s">
        <v>60</v>
      </c>
      <c r="C127" s="9" t="s">
        <v>360</v>
      </c>
      <c r="D127" s="9" t="s">
        <v>287</v>
      </c>
    </row>
    <row r="128" spans="1:5" x14ac:dyDescent="0.2">
      <c r="A128" s="9" t="s">
        <v>365</v>
      </c>
      <c r="B128" s="9" t="s">
        <v>58</v>
      </c>
      <c r="C128" s="9" t="s">
        <v>361</v>
      </c>
      <c r="D128" s="9" t="s">
        <v>287</v>
      </c>
    </row>
    <row r="129" spans="1:4" x14ac:dyDescent="0.2">
      <c r="A129" s="9" t="s">
        <v>365</v>
      </c>
      <c r="B129" s="9" t="s">
        <v>61</v>
      </c>
      <c r="C129" s="9" t="s">
        <v>362</v>
      </c>
      <c r="D129" s="9" t="s">
        <v>287</v>
      </c>
    </row>
    <row r="130" spans="1:4" x14ac:dyDescent="0.2">
      <c r="A130" s="9" t="s">
        <v>365</v>
      </c>
      <c r="B130" s="9" t="s">
        <v>65</v>
      </c>
      <c r="C130" s="9" t="s">
        <v>363</v>
      </c>
      <c r="D130" s="9" t="s">
        <v>287</v>
      </c>
    </row>
    <row r="131" spans="1:4" x14ac:dyDescent="0.2">
      <c r="A131" s="9" t="s">
        <v>365</v>
      </c>
      <c r="B131" s="9">
        <v>2593</v>
      </c>
      <c r="C131" s="14" t="s">
        <v>379</v>
      </c>
      <c r="D131" s="9" t="s">
        <v>287</v>
      </c>
    </row>
    <row r="132" spans="1:4" x14ac:dyDescent="0.2">
      <c r="A132" s="9" t="s">
        <v>365</v>
      </c>
      <c r="B132" s="9">
        <v>2645</v>
      </c>
      <c r="C132" s="14" t="s">
        <v>380</v>
      </c>
      <c r="D132" s="9" t="s">
        <v>287</v>
      </c>
    </row>
    <row r="133" spans="1:4" x14ac:dyDescent="0.2">
      <c r="A133" s="12" t="s">
        <v>387</v>
      </c>
      <c r="B133" s="12">
        <v>7448</v>
      </c>
      <c r="C133" s="17" t="s">
        <v>394</v>
      </c>
      <c r="D133" s="9" t="s">
        <v>259</v>
      </c>
    </row>
    <row r="134" spans="1:4" x14ac:dyDescent="0.2">
      <c r="A134" s="12" t="s">
        <v>387</v>
      </c>
      <c r="B134" s="12">
        <v>7450</v>
      </c>
      <c r="C134" s="18" t="s">
        <v>395</v>
      </c>
      <c r="D134" s="9" t="s">
        <v>259</v>
      </c>
    </row>
    <row r="135" spans="1:4" x14ac:dyDescent="0.2">
      <c r="A135" s="12" t="s">
        <v>387</v>
      </c>
      <c r="B135" s="12">
        <v>7452</v>
      </c>
      <c r="C135" s="18" t="s">
        <v>396</v>
      </c>
      <c r="D135" s="9" t="s">
        <v>259</v>
      </c>
    </row>
    <row r="136" spans="1:4" x14ac:dyDescent="0.2">
      <c r="A136" s="12" t="s">
        <v>387</v>
      </c>
      <c r="B136" s="12">
        <v>7548</v>
      </c>
      <c r="C136" s="18" t="s">
        <v>397</v>
      </c>
      <c r="D136" s="9" t="s">
        <v>259</v>
      </c>
    </row>
    <row r="137" spans="1:4" x14ac:dyDescent="0.2">
      <c r="A137" s="12" t="s">
        <v>388</v>
      </c>
      <c r="B137" s="12">
        <v>7434</v>
      </c>
      <c r="C137" s="18" t="s">
        <v>398</v>
      </c>
      <c r="D137" s="9" t="s">
        <v>259</v>
      </c>
    </row>
    <row r="138" spans="1:4" x14ac:dyDescent="0.2">
      <c r="A138" s="12" t="s">
        <v>388</v>
      </c>
      <c r="B138" s="12">
        <v>7435</v>
      </c>
      <c r="C138" s="18" t="s">
        <v>399</v>
      </c>
      <c r="D138" s="9" t="s">
        <v>259</v>
      </c>
    </row>
    <row r="139" spans="1:4" x14ac:dyDescent="0.2">
      <c r="A139" s="12" t="s">
        <v>387</v>
      </c>
      <c r="B139" s="12">
        <v>7251</v>
      </c>
      <c r="C139" s="18" t="s">
        <v>400</v>
      </c>
      <c r="D139" s="9" t="s">
        <v>259</v>
      </c>
    </row>
    <row r="140" spans="1:4" x14ac:dyDescent="0.2">
      <c r="A140" s="12" t="s">
        <v>387</v>
      </c>
      <c r="B140" s="12">
        <v>7254</v>
      </c>
      <c r="C140" s="18" t="s">
        <v>401</v>
      </c>
      <c r="D140" s="9" t="s">
        <v>259</v>
      </c>
    </row>
    <row r="141" spans="1:4" x14ac:dyDescent="0.2">
      <c r="A141" s="12" t="s">
        <v>387</v>
      </c>
      <c r="B141" s="12">
        <v>7259</v>
      </c>
      <c r="C141" s="18" t="s">
        <v>402</v>
      </c>
      <c r="D141" s="9" t="s">
        <v>259</v>
      </c>
    </row>
    <row r="142" spans="1:4" x14ac:dyDescent="0.2">
      <c r="A142" s="12" t="s">
        <v>387</v>
      </c>
      <c r="B142" s="12">
        <v>7260</v>
      </c>
      <c r="C142" s="18" t="s">
        <v>403</v>
      </c>
      <c r="D142" s="9" t="s">
        <v>259</v>
      </c>
    </row>
    <row r="143" spans="1:4" x14ac:dyDescent="0.2">
      <c r="A143" s="12" t="s">
        <v>388</v>
      </c>
      <c r="B143" s="12">
        <v>7248</v>
      </c>
      <c r="C143" s="18" t="s">
        <v>404</v>
      </c>
      <c r="D143" s="9" t="s">
        <v>259</v>
      </c>
    </row>
    <row r="144" spans="1:4" x14ac:dyDescent="0.2">
      <c r="A144" s="12" t="s">
        <v>388</v>
      </c>
      <c r="B144" s="12">
        <v>7249</v>
      </c>
      <c r="C144" s="18" t="s">
        <v>405</v>
      </c>
      <c r="D144" s="9" t="s">
        <v>259</v>
      </c>
    </row>
    <row r="145" spans="1:4" x14ac:dyDescent="0.2">
      <c r="A145" s="14" t="s">
        <v>388</v>
      </c>
      <c r="B145" s="12">
        <v>7352</v>
      </c>
      <c r="C145" s="18" t="s">
        <v>406</v>
      </c>
      <c r="D145" s="9" t="s">
        <v>259</v>
      </c>
    </row>
    <row r="146" spans="1:4" x14ac:dyDescent="0.2">
      <c r="A146" s="14" t="s">
        <v>388</v>
      </c>
      <c r="B146" s="12">
        <v>7353</v>
      </c>
      <c r="C146" s="18" t="s">
        <v>407</v>
      </c>
      <c r="D146" s="9" t="s">
        <v>259</v>
      </c>
    </row>
    <row r="147" spans="1:4" x14ac:dyDescent="0.2">
      <c r="A147" s="14" t="s">
        <v>388</v>
      </c>
      <c r="B147" s="12">
        <v>7354</v>
      </c>
      <c r="C147" s="18" t="s">
        <v>408</v>
      </c>
      <c r="D147" s="9" t="s">
        <v>259</v>
      </c>
    </row>
    <row r="148" spans="1:4" x14ac:dyDescent="0.2">
      <c r="A148" s="14" t="s">
        <v>387</v>
      </c>
      <c r="B148" s="12">
        <v>7357</v>
      </c>
      <c r="C148" s="18" t="s">
        <v>409</v>
      </c>
      <c r="D148" s="9" t="s">
        <v>259</v>
      </c>
    </row>
    <row r="149" spans="1:4" x14ac:dyDescent="0.2">
      <c r="A149" s="14" t="s">
        <v>387</v>
      </c>
      <c r="B149" s="12">
        <v>7361</v>
      </c>
      <c r="C149" s="18" t="s">
        <v>410</v>
      </c>
      <c r="D149" s="9" t="s">
        <v>259</v>
      </c>
    </row>
    <row r="150" spans="1:4" x14ac:dyDescent="0.2">
      <c r="A150" s="14" t="s">
        <v>388</v>
      </c>
      <c r="B150" s="14">
        <v>7001</v>
      </c>
      <c r="C150" s="18" t="s">
        <v>418</v>
      </c>
      <c r="D150" s="9" t="s">
        <v>287</v>
      </c>
    </row>
    <row r="151" spans="1:4" x14ac:dyDescent="0.2">
      <c r="A151" s="14" t="s">
        <v>387</v>
      </c>
      <c r="B151" s="14">
        <v>7239</v>
      </c>
      <c r="C151" s="18" t="s">
        <v>419</v>
      </c>
      <c r="D151" s="9" t="s">
        <v>287</v>
      </c>
    </row>
    <row r="152" spans="1:4" x14ac:dyDescent="0.2">
      <c r="A152" s="14" t="s">
        <v>387</v>
      </c>
      <c r="B152" s="14">
        <v>7239</v>
      </c>
      <c r="C152" s="18" t="s">
        <v>420</v>
      </c>
      <c r="D152" s="9" t="s">
        <v>287</v>
      </c>
    </row>
    <row r="153" spans="1:4" x14ac:dyDescent="0.2">
      <c r="A153" s="14" t="s">
        <v>388</v>
      </c>
      <c r="B153" s="14">
        <v>7248</v>
      </c>
      <c r="C153" s="18" t="s">
        <v>416</v>
      </c>
      <c r="D153" s="9" t="s">
        <v>287</v>
      </c>
    </row>
    <row r="154" spans="1:4" x14ac:dyDescent="0.2">
      <c r="A154" s="14" t="s">
        <v>388</v>
      </c>
      <c r="B154" s="14">
        <v>7250</v>
      </c>
      <c r="C154" s="18" t="s">
        <v>422</v>
      </c>
      <c r="D154" s="9" t="s">
        <v>287</v>
      </c>
    </row>
    <row r="155" spans="1:4" x14ac:dyDescent="0.2">
      <c r="A155" s="14" t="s">
        <v>387</v>
      </c>
      <c r="B155" s="14">
        <v>7259</v>
      </c>
      <c r="C155" s="18" t="s">
        <v>421</v>
      </c>
      <c r="D155" s="9" t="s">
        <v>287</v>
      </c>
    </row>
    <row r="156" spans="1:4" x14ac:dyDescent="0.2">
      <c r="A156" s="14" t="s">
        <v>387</v>
      </c>
      <c r="B156" s="14">
        <v>7260</v>
      </c>
      <c r="C156" s="18" t="s">
        <v>417</v>
      </c>
      <c r="D156" s="9" t="s">
        <v>287</v>
      </c>
    </row>
    <row r="157" spans="1:4" x14ac:dyDescent="0.2">
      <c r="A157" s="14" t="s">
        <v>388</v>
      </c>
      <c r="B157" s="14">
        <v>7352</v>
      </c>
      <c r="C157" s="18" t="s">
        <v>411</v>
      </c>
      <c r="D157" s="9" t="s">
        <v>287</v>
      </c>
    </row>
    <row r="158" spans="1:4" x14ac:dyDescent="0.2">
      <c r="A158" s="14" t="s">
        <v>387</v>
      </c>
      <c r="B158" s="14">
        <v>7361</v>
      </c>
      <c r="C158" s="18" t="s">
        <v>412</v>
      </c>
      <c r="D158" s="9" t="s">
        <v>287</v>
      </c>
    </row>
    <row r="159" spans="1:4" x14ac:dyDescent="0.2">
      <c r="A159" s="14" t="s">
        <v>388</v>
      </c>
      <c r="B159" s="14">
        <v>7435</v>
      </c>
      <c r="C159" s="18" t="s">
        <v>413</v>
      </c>
      <c r="D159" s="9" t="s">
        <v>287</v>
      </c>
    </row>
    <row r="160" spans="1:4" x14ac:dyDescent="0.2">
      <c r="A160" s="14" t="s">
        <v>387</v>
      </c>
      <c r="B160" s="14">
        <v>7448</v>
      </c>
      <c r="C160" s="18" t="s">
        <v>414</v>
      </c>
      <c r="D160" s="9" t="s">
        <v>287</v>
      </c>
    </row>
    <row r="161" spans="1:4" x14ac:dyDescent="0.2">
      <c r="A161" s="14" t="s">
        <v>387</v>
      </c>
      <c r="B161" s="14">
        <v>7450</v>
      </c>
      <c r="C161" s="18" t="s">
        <v>415</v>
      </c>
      <c r="D161" s="9" t="s">
        <v>287</v>
      </c>
    </row>
  </sheetData>
  <sortState xmlns:xlrd2="http://schemas.microsoft.com/office/spreadsheetml/2017/richdata2" ref="A150:F161">
    <sortCondition ref="B150:B161"/>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5B3F3-C347-FB4D-ADE3-64C5CD0B5B98}">
  <dimension ref="A1:E21"/>
  <sheetViews>
    <sheetView workbookViewId="0">
      <selection activeCell="B21" sqref="B2:B21"/>
    </sheetView>
  </sheetViews>
  <sheetFormatPr baseColWidth="10" defaultRowHeight="16" x14ac:dyDescent="0.2"/>
  <sheetData>
    <row r="1" spans="1:5" s="3" customFormat="1" x14ac:dyDescent="0.2">
      <c r="A1" s="3" t="s">
        <v>389</v>
      </c>
      <c r="B1" s="3" t="s">
        <v>1</v>
      </c>
      <c r="C1" s="16" t="s">
        <v>391</v>
      </c>
      <c r="D1" s="16" t="s">
        <v>77</v>
      </c>
      <c r="E1" s="16"/>
    </row>
    <row r="2" spans="1:5" x14ac:dyDescent="0.2">
      <c r="A2" s="15">
        <v>7352</v>
      </c>
      <c r="B2" s="15" t="s">
        <v>393</v>
      </c>
      <c r="C2" s="14">
        <v>2</v>
      </c>
      <c r="D2" s="14" t="s">
        <v>392</v>
      </c>
      <c r="E2" s="12"/>
    </row>
    <row r="3" spans="1:5" x14ac:dyDescent="0.2">
      <c r="A3" s="15">
        <v>7353</v>
      </c>
      <c r="B3" s="15" t="s">
        <v>393</v>
      </c>
      <c r="C3" s="14">
        <v>2</v>
      </c>
      <c r="D3" s="14" t="s">
        <v>392</v>
      </c>
      <c r="E3" s="12"/>
    </row>
    <row r="4" spans="1:5" x14ac:dyDescent="0.2">
      <c r="A4" s="15">
        <v>7354</v>
      </c>
      <c r="B4" s="15" t="s">
        <v>393</v>
      </c>
      <c r="C4" s="14">
        <v>2</v>
      </c>
      <c r="D4" s="14" t="s">
        <v>392</v>
      </c>
      <c r="E4" s="12"/>
    </row>
    <row r="5" spans="1:5" x14ac:dyDescent="0.2">
      <c r="A5" s="15">
        <v>7357</v>
      </c>
      <c r="B5" s="15" t="s">
        <v>390</v>
      </c>
      <c r="C5" s="14">
        <v>2</v>
      </c>
      <c r="D5" s="14" t="s">
        <v>392</v>
      </c>
      <c r="E5" s="12"/>
    </row>
    <row r="6" spans="1:5" x14ac:dyDescent="0.2">
      <c r="A6" s="15">
        <v>7361</v>
      </c>
      <c r="B6" s="15" t="s">
        <v>390</v>
      </c>
      <c r="C6" s="14">
        <v>2</v>
      </c>
      <c r="D6" s="14" t="s">
        <v>392</v>
      </c>
      <c r="E6" s="12"/>
    </row>
    <row r="7" spans="1:5" x14ac:dyDescent="0.2">
      <c r="A7" s="15">
        <v>7448</v>
      </c>
      <c r="B7" s="15" t="s">
        <v>390</v>
      </c>
      <c r="C7" s="14">
        <v>10</v>
      </c>
      <c r="D7" s="14" t="s">
        <v>392</v>
      </c>
      <c r="E7" s="12"/>
    </row>
    <row r="8" spans="1:5" x14ac:dyDescent="0.2">
      <c r="A8" s="15">
        <v>7450</v>
      </c>
      <c r="B8" s="15" t="s">
        <v>390</v>
      </c>
      <c r="C8" s="14">
        <v>10</v>
      </c>
      <c r="D8" s="14" t="s">
        <v>392</v>
      </c>
      <c r="E8" s="12"/>
    </row>
    <row r="9" spans="1:5" x14ac:dyDescent="0.2">
      <c r="A9" s="15">
        <v>7452</v>
      </c>
      <c r="B9" s="15" t="s">
        <v>390</v>
      </c>
      <c r="C9" s="14">
        <v>10</v>
      </c>
      <c r="D9" s="14" t="s">
        <v>392</v>
      </c>
      <c r="E9" s="12"/>
    </row>
    <row r="10" spans="1:5" x14ac:dyDescent="0.2">
      <c r="A10" s="15">
        <v>7548</v>
      </c>
      <c r="B10" s="15" t="s">
        <v>390</v>
      </c>
      <c r="C10" s="14">
        <v>10</v>
      </c>
      <c r="D10" s="14" t="s">
        <v>392</v>
      </c>
      <c r="E10" s="12"/>
    </row>
    <row r="11" spans="1:5" x14ac:dyDescent="0.2">
      <c r="A11" s="15">
        <v>7434</v>
      </c>
      <c r="B11" s="15" t="s">
        <v>393</v>
      </c>
      <c r="C11" s="14">
        <v>10</v>
      </c>
      <c r="D11" s="14" t="s">
        <v>392</v>
      </c>
      <c r="E11" s="12"/>
    </row>
    <row r="12" spans="1:5" x14ac:dyDescent="0.2">
      <c r="A12" s="15">
        <v>7435</v>
      </c>
      <c r="B12" s="15" t="s">
        <v>393</v>
      </c>
      <c r="C12" s="14">
        <v>10</v>
      </c>
      <c r="D12" s="14" t="s">
        <v>392</v>
      </c>
      <c r="E12" s="12"/>
    </row>
    <row r="13" spans="1:5" x14ac:dyDescent="0.2">
      <c r="A13" s="15">
        <v>7250</v>
      </c>
      <c r="B13" s="15" t="s">
        <v>393</v>
      </c>
      <c r="C13" s="14">
        <v>26</v>
      </c>
      <c r="D13" s="14" t="s">
        <v>392</v>
      </c>
      <c r="E13" s="12"/>
    </row>
    <row r="14" spans="1:5" x14ac:dyDescent="0.2">
      <c r="A14" s="15">
        <v>7251</v>
      </c>
      <c r="B14" s="15" t="s">
        <v>390</v>
      </c>
      <c r="C14" s="14">
        <v>26</v>
      </c>
      <c r="D14" s="14" t="s">
        <v>392</v>
      </c>
      <c r="E14" s="12"/>
    </row>
    <row r="15" spans="1:5" x14ac:dyDescent="0.2">
      <c r="A15" s="15">
        <v>7254</v>
      </c>
      <c r="B15" s="15" t="s">
        <v>390</v>
      </c>
      <c r="C15" s="14">
        <v>26</v>
      </c>
      <c r="D15" s="14" t="s">
        <v>392</v>
      </c>
      <c r="E15" s="12"/>
    </row>
    <row r="16" spans="1:5" x14ac:dyDescent="0.2">
      <c r="A16" s="15">
        <v>7259</v>
      </c>
      <c r="B16" s="15" t="s">
        <v>390</v>
      </c>
      <c r="C16" s="14">
        <v>26</v>
      </c>
      <c r="D16" s="14" t="s">
        <v>392</v>
      </c>
      <c r="E16" s="12"/>
    </row>
    <row r="17" spans="1:5" x14ac:dyDescent="0.2">
      <c r="A17" s="15">
        <v>7260</v>
      </c>
      <c r="B17" s="15" t="s">
        <v>390</v>
      </c>
      <c r="C17" s="14">
        <v>26</v>
      </c>
      <c r="D17" s="14" t="s">
        <v>392</v>
      </c>
      <c r="E17" s="12"/>
    </row>
    <row r="18" spans="1:5" x14ac:dyDescent="0.2">
      <c r="A18" s="15">
        <v>7248</v>
      </c>
      <c r="B18" s="15" t="s">
        <v>393</v>
      </c>
      <c r="C18" s="14">
        <v>26</v>
      </c>
      <c r="D18" s="14" t="s">
        <v>392</v>
      </c>
      <c r="E18" s="12"/>
    </row>
    <row r="19" spans="1:5" x14ac:dyDescent="0.2">
      <c r="A19" s="15">
        <v>7249</v>
      </c>
      <c r="B19" s="15" t="s">
        <v>393</v>
      </c>
      <c r="C19" s="14">
        <v>26</v>
      </c>
      <c r="D19" s="14" t="s">
        <v>392</v>
      </c>
      <c r="E19" s="12"/>
    </row>
    <row r="20" spans="1:5" x14ac:dyDescent="0.2">
      <c r="A20" s="14">
        <v>7001</v>
      </c>
      <c r="B20" s="15" t="s">
        <v>393</v>
      </c>
      <c r="C20" s="14">
        <v>52</v>
      </c>
      <c r="D20" s="14" t="s">
        <v>392</v>
      </c>
    </row>
    <row r="21" spans="1:5" x14ac:dyDescent="0.2">
      <c r="A21" s="14">
        <v>7239</v>
      </c>
      <c r="B21" s="15" t="s">
        <v>390</v>
      </c>
      <c r="C21" s="14">
        <v>52</v>
      </c>
      <c r="D21" s="14" t="s">
        <v>392</v>
      </c>
    </row>
  </sheetData>
  <sortState xmlns:xlrd2="http://schemas.microsoft.com/office/spreadsheetml/2017/richdata2" ref="A2:E19">
    <sortCondition ref="C2:C19"/>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1A Clinical info</vt:lpstr>
      <vt:lpstr>1B Data availability</vt:lpstr>
      <vt:lpstr>1C Sample list</vt:lpstr>
      <vt:lpstr>Mice info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Karpova, Alla</dc:creator>
  <cp:lastModifiedBy>Karpova, Alla</cp:lastModifiedBy>
  <dcterms:created xsi:type="dcterms:W3CDTF">2024-07-25T22:40:07Z</dcterms:created>
  <dcterms:modified xsi:type="dcterms:W3CDTF">2025-11-17T20:47:08Z</dcterms:modified>
</cp:coreProperties>
</file>